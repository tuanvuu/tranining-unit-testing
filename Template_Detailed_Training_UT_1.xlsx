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3278879-0396-4A4C-95AA-8B10481E8A01}" xr6:coauthVersionLast="47" xr6:coauthVersionMax="47" xr10:uidLastSave="{00000000-0000-0000-0000-000000000000}"/>
  <bookViews>
    <workbookView xWindow="-120" yWindow="-120" windowWidth="29040" windowHeight="15720" activeTab="1" xr2:uid="{00000000-000D-0000-FFFF-FFFF00000000}"/>
  </bookViews>
  <sheets>
    <sheet name="Ho-Ren-So" sheetId="1" r:id="rId1"/>
    <sheet name="Unit-Testing" sheetId="3" r:id="rId2"/>
    <sheet name="PostTest-Buoi1"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E13" i="1"/>
  <c r="E12" i="1"/>
  <c r="E11" i="1"/>
  <c r="E15" i="1" s="1"/>
  <c r="E10" i="1"/>
  <c r="E23" i="3"/>
  <c r="E22" i="3"/>
  <c r="E21" i="3"/>
  <c r="E20" i="3"/>
  <c r="E19" i="3"/>
  <c r="E18" i="3"/>
  <c r="E17" i="3"/>
  <c r="E16" i="3"/>
  <c r="E15" i="3"/>
  <c r="E14" i="3"/>
  <c r="E13" i="3"/>
  <c r="E12" i="3"/>
  <c r="E11" i="3"/>
  <c r="E24" i="3" s="1"/>
  <c r="E10" i="3"/>
  <c r="H7" i="3" a="1"/>
  <c r="H7" i="3" s="1"/>
</calcChain>
</file>

<file path=xl/sharedStrings.xml><?xml version="1.0" encoding="utf-8"?>
<sst xmlns="http://schemas.openxmlformats.org/spreadsheetml/2006/main" count="373" uniqueCount="280">
  <si>
    <t>DETAILED TRAINING PLAN</t>
  </si>
  <si>
    <t>UNIT TESTING TRAINING MODULE - PHẦN 1 &amp; PHẦN 2 (Java 17+ · JUnit 5 · Mockito)</t>
  </si>
  <si>
    <t>Mục tiêu đào tạo
(Training Objectives):
Sau khi hoàn thành training, học viên có thể:
- Hiểu mục tiêu thực sự của unit testing là duy trì sustainable development của dự án, không chạy theo coverage
- Phân biệt London School và Classical School, áp dụng đúng nguyên tắc isolation theo từng ngữ cảnh
- Viết unit test sạch theo chuẩn AAA (Arrange-Act-Assert), đặt tên test theo business fact
- Đánh giá chất lượng test theo 4 trụ cột: Bảo vệ Regression, Khả năng chịu đựng Refactoring, Phản hồi nhanh, Khả năng bảo trì
- Phân biệt Mock (outgoing interaction) và Stub (incoming data); không bao giờ assert vào Stub
- Áp dụng Humble Object Pattern và mô hình Functional Core/Mutable Shell để tái cấu trúc code khó test
- Nhận diện và loại bỏ 5 anti-pattern phổ biến: test private method, lộ private state, code pollution, mock concrete class, time-dependent flaky test</t>
  </si>
  <si>
    <t>Đối tượng học viên:
[Target participant]</t>
  </si>
  <si>
    <t>2 buổi:
- Phần 1: ~105 phút (1 giờ 45 phút, kể cả check-in/giải lao)
- Phần 2: ~140 phút (2 giờ 20 phút, kể cả check-in/giải lao)</t>
  </si>
  <si>
    <t>Hình thức:
[Mode]</t>
  </si>
  <si>
    <t>Online qua MS Teams (có demo trực tiếp).</t>
  </si>
  <si>
    <t>Phương pháp đánh giá:
[Evaluation methods]</t>
  </si>
  <si>
    <t xml:space="preserve">1. Bài tập thực hành refactor test trên codebase mẫu (sau mỗi buổi)
2. Post-Training Quiz qua MS Forms/Kahoot
</t>
  </si>
  <si>
    <t>Thời lượng:
[Duration]</t>
  </si>
  <si>
    <t>2 buổi:
- Phần 1: ~165 phút (2 giờ 45 phút, kể cả check-in/giải lao)
- Phần 2: ~165 phút (2 giờ 45 phút, kể cả check-in/giải lao)</t>
  </si>
  <si>
    <t>Số lượng học viên:
[Number of participants]</t>
  </si>
  <si>
    <t>Tối đa 20-25 pax/lớp</t>
  </si>
  <si>
    <t>Giảng viên:
[Trainer]</t>
  </si>
  <si>
    <t>Trịnh Tuấn Vũ</t>
  </si>
  <si>
    <t>Kết quả kỳ vọng
(Expected Outcomes):
- Điểm hài lòng trung bình của học viên đạt 4.0/5.0 hoặc cao hơn
- 100% học viên hoàn thành bài tập thực hành refactor sau mỗi buổi
- Tối thiểu 80% học viên đạt yêu cầu trong Post-Training Quiz
- Sau training, tỷ lệ false positive/flaky test trong CI pipeline của team giảm rõ rệt; codebase có nhiều Output-Based Test hơn</t>
  </si>
  <si>
    <t>Thời điểm:
[Timing]</t>
  </si>
  <si>
    <t>Điều kiện tiên quyết:
[Pre-requisite]</t>
  </si>
  <si>
    <t>Đã biết lập trình Java cơ bản, đã từng viết hoặc đọc qua JUnit test.
Đã cài đặt sẵn: JDK 17+, Maven, IDE (IntelliJ/Eclipse), JUnit 5, Mockito, JaCoCo trước buổi học</t>
  </si>
  <si>
    <t>Bố trí phòng học
[Classroom Layout]</t>
  </si>
  <si>
    <t>Ngày
[Date]</t>
  </si>
  <si>
    <t>Thời gian
[Time]</t>
  </si>
  <si>
    <t>Thời lượng - phút
[Duration - mins]</t>
  </si>
  <si>
    <t>Học phần
[Section]</t>
  </si>
  <si>
    <t>Nội dung
[Content]</t>
  </si>
  <si>
    <t>Diễn giải chi tiết
[Detailed Interpretation]</t>
  </si>
  <si>
    <t>Kết quả kỳ vọng
[Desired outcome]</t>
  </si>
  <si>
    <t>Phương pháp đào tạo
[Instructional methods]</t>
  </si>
  <si>
    <t>Training Materials
[Trainer]</t>
  </si>
  <si>
    <t>Ghi chú
[Notes]</t>
  </si>
  <si>
    <t>Bắt đầu
[Start]</t>
  </si>
  <si>
    <t>Kết thúc
[End]</t>
  </si>
  <si>
    <t>Buổi 1
30/06/2026
Unit Testing - Phần 1</t>
  </si>
  <si>
    <t>Check-in</t>
  </si>
  <si>
    <t>Ổn định lớp, kiểm tra kết nối (Online) / điểm danh (Offline)</t>
  </si>
  <si>
    <t>Slide chào mừng</t>
  </si>
  <si>
    <t>Giới thiệu &amp; Agenda</t>
  </si>
  <si>
    <t>1. Giới thiệu giảng viên, mục tiêu buổi học
2. Agenda Phần 1: Tư duy cốt lõi, kiến trúc test, clean framework với Java</t>
  </si>
  <si>
    <t>Giới thiệu nhanh giảng viên và bối cảnh training.
Trình bày agenda: 3 chương chính của Phần 1 (Mục tiêu &amp; Cái bẫy Coverage, Định nghĩa Unit Test, Giải phẫu AAA) và preview 4 chủ đề của Phần 2.
Nêu rõ kết quả mong đợi sau Phần 1: hiểu vì sao 100% coverage không đảm bảo chất lượng, biết chọn Classical School, viết test sạch theo AAA</t>
  </si>
  <si>
    <t>Học viên nắm được lộ trình 2 buổi và kỳ vọng đầu ra của từng phần</t>
  </si>
  <si>
    <t>Presentation</t>
  </si>
  <si>
    <t>Slides Phần 1 (Unit-Testing-Phan-1.pptx)</t>
  </si>
  <si>
    <t>Chương 1: Mục tiêu thật của Unit Testing &amp; Cái bẫy Coverage</t>
  </si>
  <si>
    <t>1. Mục tiêu tối thượng của Unit Testing
2. Hiện thực khắc nghiệt của phát triển phần mềm (Greenfield -&gt; Khủng hoảng)
3. Cái bẫy của Line Coverage &amp; Branch Coverage
4. Live Demo 1: Ảo giác của Coverage (~3 phút)
5. Điều gì tạo nên một test suite thành công</t>
  </si>
  <si>
    <t>1. Mục tiêu của unit test không phải là số coverage mà là duy trì sustainable development; không có test thì chi phí bảo trì tăng theo cấp số nhân
1.1 Giai đoạn Greenfield: tốc độ cao, developer tự tin tuyệt đối
1.2 Một năm sau: codebase trở thành 'Big Ball of Mud'
1.3 Khủng hoảng: sợ refactor vì test đỏ tràn lan dù production vẫn chạy đúng
2. Line coverage là ảo giác: 100% coverage không đồng nghĩa 100% chất lượng vì có thể là assertion-free test
2.1 Branch coverage tốt hơn nhưng vẫn bỏ sót edge case và tương tác với third-party library
2.2 Nguyên tắc vàng: Coverage là negative indicator tốt, positive indicator tệ
3. Live Demo 1: dùng JaCoCo demo một method giảm giá có bug ẩn trong branch chưa được assert - coverage báo 100% xanh nhưng bug vẫn lọt vào production
4. Test suite thành công cần: tích hợp sâu vào CI/CD, tập trung vào Domain Logic, chi phí bảo trì thấp</t>
  </si>
  <si>
    <t>Học viên hiểu vì sao không nên dùng % coverage làm KPI duy nhất, và phân biệt được negative vs positive indicator của coverage metric</t>
  </si>
  <si>
    <t>Presentation + Live Coding Demo + Discussion</t>
  </si>
  <si>
    <t>Slides, IDE, JaCoCo, Maven project mẫu (Calculator/Discount)</t>
  </si>
  <si>
    <t>Nhấn mạnh ví dụ Calculator.add(): coverage 100% nhưng zero value vì thiếu assertion</t>
  </si>
  <si>
    <t>Chương 2: Định nghĩa "Unit Test" - London School vs Classical School</t>
  </si>
  <si>
    <t>1. 3 thuộc tính xác định một Unit Test
2. Cuộc tranh luận Isolation: London School vs Classical School
3. Hiểu về các loại Dependency: Shared, Out-of-Process, Private
4. So sánh code Java: London style (mock everything) vs Classical style (real domain object)
5. Ma trận quyết định Classical vs London
6. Vì sao xu hướng Pragmatic ưu tiên Classical School (Structural Coupling &amp; False Positive)
7. Live Demo 2: Test mong manh vs thực dụng (~5 phút)
8. Integration Testing dưới 2 góc nhìn</t>
  </si>
  <si>
    <t>1. Một Unit Test hợp lệ phải: (a) verify đúng 1 unit, (b) chạy cực nhanh (mili-giây), (c) chạy trong isolation hoàn toàn
2.1 London School: 'unit' = 1 class, mock toàn bộ collaborator, isolation = tách class khỏi dependency
2.2 Classical School: 'unit' = 1 hành vi nghiệp vụ (có thể nhiều class thật), isolation = tách test case khỏi nhau, chỉ mock dependency dùng chung/ngoài process
3.1 Shared Dependency: static field, singleton, DB instance dùng chung -&gt; phải mock/isolate
3.2 Out-of-Process Dependency: DB thật, message queue, SMTP, API ngoài -&gt; luôn mock trong unit test
3.3 Private Dependency: collection nội bộ, value object -&gt; an toàn dùng real object, không mock
4. Ví dụ OrderService: London style verify(repoMock).reduceInventory(...) sẽ vỡ nếu đổi tên method dù behavior đúng; Classical style assertEquals(5, warehouse.getStock(...)) vẫn xanh sau refactor
5. Ma trận: London có độ chi tiết lỗi cao nhưng an toàn refactor thấp; Classical an toàn refactor cao, chỉ cần debug nhiều hơn khi lỗi xảy ra ở hành vi nhiều class
6. Mock quá tay gây Structural Coupling -&gt; False Positive khi refactor đúng nhưng method bị mock đổi signature -&gt; developer dần mất niềm tin vào test suite
7. Live Demo 2: refactor 1 UserProfile service đổi cách update tên - London test (mock nặng) vỡ, Classical test (domain object thật) vẫn xanh
8. London School: 2 class thật cộng tác = Integration Test. Classical School: chỉ test chạm out-of-process dependency mới là Integration Test</t>
  </si>
  <si>
    <t>Học viên phân biệt rõ London vs Classical School và chọn Classical School làm default approach trừ khi có lý do đặc biệt; hiểu 3 loại dependency để quyết định mock hay không</t>
  </si>
  <si>
    <t>Presentation + Live Coding Demo + Group Discussion + Code Comparison</t>
  </si>
  <si>
    <t>Slides, IDE, Mockito, OrderService/Warehouse code mẫu, UserProfile demo project</t>
  </si>
  <si>
    <t>Trọng tâm Phần 1: Classical School là default; chỉ mock Shared/Out-of-Process dependency</t>
  </si>
  <si>
    <t>Giải lao</t>
  </si>
  <si>
    <t>Nghỉ giải lao, giải đáp nhanh thắc mắc</t>
  </si>
  <si>
    <t>Eg: Test via MS Forms/Kahoot
Feedback form via MS Forms</t>
  </si>
  <si>
    <t>Chương 3: Giải phẫu Unit Test - AAA Pattern, Naming Convention, Parameterized Test</t>
  </si>
  <si>
    <t>1. AAA Pattern: Arrange - Act - Assert
2. Quy tắc vàng cho khối Act (chỉ 1 dòng) - Live Demo 3 (~4 phút)
3. Không đặt logic điều kiện (if/else, loop) trong test
4. Định kích thước hợp lý từng khối AAA + Teardown
5. Quy ước đặt tên test theo "business fact", không theo tên method
6. Live Demo 4: Refactor tên test &amp; áp dụng @ParameterizedTest (~4 phút)
7. Giữ Assertion đơn giản: JUnit 5 chuẩn vs Fluent library (AssertJ/Hamcrest)</t>
  </si>
  <si>
    <t>1. Arrange: thiết lập world (object, mock, input). Act: gọi đúng 1 method/behavior, đúng 1 dòng. Assert: kiểm tra outcome, ngắn gọn, 1 khái niệm/test
2. Act nhiều dòng (order.calculateTotal(); order.applyTax(); order.setFinalPrice();) là code smell - là dấu hiệu vi phạm encapsulation ở production code, không phải lỗi của test -&gt; fix bằng cách thêm method domain rõ nghĩa (order.finalizeOrder())
Live Demo 3: refactor Order class để Act block về đúng 1 dòng
3. Cấm if/else/switch/for/while trong thân test vì làm tăng cyclomatic complexity của chính test; nếu cần rẽ nhánh -&gt; tách thành 2 test method hoặc dùng @ParameterizedTest
4. Assert nên ngắn gọn (1 khái niệm/test); Act đúng 1 dòng, không ngoại lệ; Arrange thường lớn nhất, nếu quá khổng lồ thì tách bằng Factory Pattern/Object Mother
Teardown: KHÔNG cần cho unit test thuần memory (JVM GC tự xử lý); chỉ cần cho Integration Test có đụng external resource (file, DB, network)
5. Naming cũ [Method]_[State]_[ExpectedBehavior] (VD: add_twoNumbers_returnsSum) gắn chặt vào tên method, vỡ khi rename, khó hiểu với non-technical stakeholder
Naming hiện đại: viết tên test như 1 câu fact nghiệp vụ, không dùng thuật ngữ code (method/class/returns/null). VD tốt: sum_of_two_numbers_must_be_mathematically_correct
6. Live Demo 4: gộp 3 test gần giống nhau thành 1 @ParameterizedTest với @CsvSource, đặt tên theo business fact, vẫn giữ AAA structure
7. Ưu tiên assertEquals/assertTrue/assertThrows chuẩn JUnit 5 vì rõ ràng, ai cũng hiểu ngay; chỉ dùng AssertJ/Hamcrest khi thực sự giảm cognitive load (assert collection, custom message), không dùng để "sành điệu"</t>
  </si>
  <si>
    <t>Học viên viết được unit test tuân thủ chuẩn AAA với Act đúng 1 dòng, đặt tên test theo business fact, và dùng @ParameterizedTest để loại bỏ trùng lặp</t>
  </si>
  <si>
    <t>Presentation + Live Coding Demo x2 + Hands-on Exercise</t>
  </si>
  <si>
    <t>Slides, IDE, JUnit 5, AssertJ, Order/Calculator code mẫu</t>
  </si>
  <si>
    <t>Bài tập về nhà: đổi tên 5 test hiện có trong project của học viên theo business fact</t>
  </si>
  <si>
    <t>Tổng kết Phần 1 &amp; Q&amp;A</t>
  </si>
  <si>
    <t>1. Tóm tắt: Tầm nhìn - Trường phái - Code sạch
2. Preview Phần 2: 4 trụ cột, quy tắc Mocking, phân loại Test Double
3. Hỏi đáp &amp; thảo luận case thực tế từ codebase học viên</t>
  </si>
  <si>
    <t>Tầm nhìn: test để hỗ trợ sustainable feature delivery, không chạy theo coverage. Trường phái: áp dụng Classical approach, chỉ mock dependency qua process boundary. Code sạch: Act 1 dòng, không rẽ nhánh trong test, đặt tên theo business fact.
Mời học viên mang test case "khó chịu nhất" của mình để cùng chẩn đoán (ảo giác coverage / false-positive machine / Classical test tốt bị đặt tên xấu)</t>
  </si>
  <si>
    <t>Học viên tổng hợp được 3 nguyên tắc cốt lõi của Phần 1 và sẵn sàng cho bài tập thực hành trước Phần 2</t>
  </si>
  <si>
    <t>Discussion + Q&amp;A</t>
  </si>
  <si>
    <t>Slide tổng kết</t>
  </si>
  <si>
    <t>Giao bài tập: review/refactor 5 test theo business fact naming trước khi vào Phần 2</t>
  </si>
  <si>
    <t>Buổi 2
[Ngày dự kiến]
Unit Testing - Phần 2</t>
  </si>
  <si>
    <t>Check-in / Ôn tập nhanh Phần 1</t>
  </si>
  <si>
    <t>Ổn định lớp; ôn nhanh 3 điểm chính Phần 1: Classical School, AAA, Coverage không đảm bảo chất lượng</t>
  </si>
  <si>
    <t>Slide ôn tập</t>
  </si>
  <si>
    <t>Chương 4: Bốn Trụ Cột, Test Pyramid &amp; Black-box vs White-box</t>
  </si>
  <si>
    <t>1. Trụ cột 1: Bảo vệ chống Regression
2. Trụ cột 2: Khả năng chịu đựng Refactoring (BINARY — không thể trade-off)
3. Trụ cột 3: Phản hồi nhanh (Fast Feedback)
4. Trụ cột 4: Khả năng bảo trì (Maintainability)
5. Ma trận đánh đổi: E2E vs Trivial Unit Test vs Brittle London Test
6. Test Pyramid: phân tầng Unit → Integration → E2E theo mục tiêu và tốc độ
7. Black-box vs White-box Testing: quy tắc ưu tiên mặc định
8. Live Demo 1: Kiểm toán test theo 4 trụ cột (~5 phút)</t>
  </si>
  <si>
    <t>1. Regression: test phải phát hiện bug khi code thay đổi; tập trung business rules, tối đa production code coverage ở vùng rủi ro cao
2. Refactoring resistance: test phải giữ xanh khi đổi implementation detail mà hành vi bên ngoài không đổi.
   ⚡ BINARY — không thể trade-off theo tỷ lệ: test hoặc couple vào behavior (xanh mãi) hoặc couple vào implementation (vỡ khi refactor). Không có điểm giữa.
   Ưu tiên số 1: triệt tiêu brittleness trước mọi thứ khác.
3. Fast Feedback: unit test không gọi network/DB/filesystem; mục tiêu toàn bộ suite chạy dưới 30 giây
4. Maintainability: test phải rõ như tài liệu sống, tránh test data bloat, mỗi test chỉ kiểm 1 hành vi
5. Ma trận: E2E test bảo vệ cao nhưng chậm; Trivial unit test nhanh nhưng zero giá trị regression; Brittle London test nhanh + bảo vệ cao nhưng chịu đựng refactor kém. Lý tưởng: Unit test Domain Logic — vừa bảo vệ cao vừa chịu đựng refactor tốt
6. Test Pyramid — 3 tầng:
   - Unit Tests (đáy): nhiều nhất, nhanh nhất (mili-giây), kiểm tra domain logic &amp; business rules
   - Integration Tests (giữa): vừa phải, kiểm tra ranh giới với DB/API/filesystem
   - E2E Tests (đỉnh): ít nhất, chậm nhất (phút), kiểm tra luồng người dùng đầu cuối
   Tất cả 3 tầng đều phải duy trì Resistance to Refactoring — không tầng nào được hy sinh.
7. Black-box vs White-box Testing:
   - White-box: viết test dựa vào kiến thức internals → dễ tìm bug, nhưng vỡ khi refactor (Resistance = kém)
   - Black-box: chỉ verify observable behavior, không quan tâm internals → test bền vững, chịu đựng refactor tốt
   - Quy tắc vàng: LUÔN ưu tiên Black-box. Nếu test không trace được về business requirement → cần xem lại
8. Live Demo: áp 4 trụ cột lên 1 method Java dùng nhiều mock Mockito; demo đổi tên biến đơn giản làm vỡ test suite dù logic đúng</t>
  </si>
  <si>
    <t>Học viên dùng được 4 trụ cột làm khung định lượng; hiểu Test Pyramid để phân tầng test; áp dụng Black-box approach làm mặc định</t>
  </si>
  <si>
    <t>Presentation + Live Coding Demo + Scoring Exercise</t>
  </si>
  <si>
    <t>Slides Phần 2 (Unit-Testing-Phan-2.pptx), IDE, Mockito</t>
  </si>
  <si>
    <t>Trọng tâm: Refactoring Resistance là BINARY; luôn ưu tiên Black-box testing</t>
  </si>
  <si>
    <t>Chương 5: Mock vs Stub, CQS &amp; Ranh Giới Ứng Dụng</t>
  </si>
  <si>
    <t>1. Phân biệt Mock (outgoing interaction) vs Stub (incoming data)
2. Quy tắc vàng: KHÔNG BAO GIỜ assert vào Stub
3. Command-Query Separation (CQS): Commands → Mock / Queries → Stub
4. Hành vi Observable vs Chi tiết triển khai
5. Intra-system vs Inter-system: Mock chỉ dùng vượt ranh giới ứng dụng
6. Kết nối với Hexagonal Architecture: chỉ mock tại boundary/adapter
7. Live Demo 2: Nguy hiểm của việc assert Stub (~5 phút)</t>
  </si>
  <si>
    <t>1. Mock dùng để verify tương tác outgoing từ SUT đến collaborator (VD: verify email đã gửi qua SMTP đúng 1 lần) — đây là đích assertion hợp lệ.
   Stub dùng để cung cấp data đầu vào có sẵn (VD: trả User giả từ mock DB) — KHÔNG BAO GIỜ assert vào stub.
2. Asserting vào stub kết nối test với cơ chế truy xuất dữ liệu nội bộ → tạo false positive ngay khi refactor
3. Command-Query Separation (CQS):
   - Command = method có side-effect, không return value (sendEmail(), saveOrder()) → verify bằng Mock (verify())
   - Query = method không side-effect, có return value (findById(), getPrice()) → cung cấp data bằng Stub (when().thenReturn())
   - KHÔNG BAO GIỜ verify() trên Query/Stub
   - Công thức: "Nếu method thay đổi thế giới → Mock nó; nếu hỏi thế giới → Stub nó"
4. Chỉ connect test với Observable Behavior: giá trị trả về, thay đổi state từ ngoài, side-effect bên ngoài.
   KHÔNG connect với Implementation Detail: cấu trúc nội bộ, private field, helper method
5. Intra-system vs Inter-system communications:
   - Intra-system: giao tiếp giữa các class trong cùng application → implementation detail → KHÔNG dùng Mock
   - Inter-system: giao tiếp với external system vượt ranh giới ứng dụng (DB thật, SMTP, MQ, REST API) → NÊN dùng Mock
   - Quy tắc: "Mock chỉ có giá trị khi verify hành vi vượt qua ranh giới ứng dụng"
6. Hexagonal Architecture: bên trong Hexagon (Domain Logic) → Output-Based Test, không mock.
   Bên ngoài (REST Controller, DB Adapter, MQ Gateway) → mock tại biên giới với unmanaged external system
7. Live Demo: verify(repo).findById() (stub bị assert nhầm) → đổi tên method production → test đỏ dù logic đúng → fix bằng xóa verify() trên stub → test xanh và chịu đựng refactor tốt</t>
  </si>
  <si>
    <t>Học viên phân biệt Mock vs Stub trong Mockito; áp dụng CQS để quyết định khi nào dùng verify() vs when(); hiểu ranh giới intra vs inter-system</t>
  </si>
  <si>
    <t>Presentation + Live Coding Demo + Code Review</t>
  </si>
  <si>
    <t>Slides, IDE, Mockito, UserService/Repository code mẫu</t>
  </si>
  <si>
    <t>Quy tắc nhấn mạnh nhiều lần: KHÔNG verify() trên Stub; Mock chỉ ở ranh giới inter-system</t>
  </si>
  <si>
    <t>Chương 6: Ba Phong Cách Unit Testing &amp; So Sánh 4 Trụ Cột</t>
  </si>
  <si>
    <t>1. Phong cách 1 - Output-Based Testing (đỉnh cao chất lượng)
2. Phong cách 2 - State-Based Testing (thực dụng &amp; phổ biến)
3. Phong cách 3 - Communication-Based Testing (phương án cuối cùng)
4. Bảng tổng hợp: 3 phong cách × 4 trụ cột (thứ tự ưu tiên rõ ràng)
5. Pure Function / Functional Architecture: Functional Core vs Mutable Shell
6. Live Demo 3: Chuyển đổi Communication-Based sang Output-Based (~5 phút)</t>
  </si>
  <si>
    <t>1. Output-Based: đưa input vào SUT, kiểm tra output trả về; không đổi state, không mock. Yêu cầu pure function/functional style. Đạt tốt nhất ở tất cả 4 trụ cột — phong cách lý tưởng nhất
2. State-Based: gọi 1 hành vi rồi kiểm tra trạng thái cuối của object/collaborator trong memory
3. Communication-Based: dùng mock để verify tương tác; bảo trì thấp nhất và chịu đựng refactor kém nhất; chỉ dùng cho unmanaged external process
4. Bảng so sánh 3 phong cách × 4 trụ cột:
   Output-based:       Bảo vệ=Tốt  | Refactoring=Tốt nhất | Tốc độ=Nhanh nhất | Bảo trì=Tốt nhất  → Ưu tiên số 1
   State-based:        Bảo vệ=Tốt  | Refactoring=Tốt      | Tốc độ=Nhanh      | Bảo trì=Trung bình → Lựa chọn mặc định
   Communication-based:Bảo vệ=Nông | Refactoring=Kém nhất | Tốc độ=Nhanh      | Bảo trì=Tốn công  → Phương án cuối
5. Functional Core (pure domain logic, không side-effect) → test 100% Output-Based.
   Mutable Shell (I/O, DB/API, side-effect) → Integration Test tối thiểu. Shell càng mỏng, chất lượng suite càng tốt
6. Live Demo: service mock file reader + tính toán + mock file writer → tách phần tính toán thành pure class → viết Output-Based test 100% không mock → ngắn, nhanh, chịu đựng refactor hoàn hảo</t>
  </si>
  <si>
    <t>Học viên nắm thứ tự ưu tiên 3 phong cách qua bảng 4 trụ cột; thiết kế code theo Functional Core/Mutable Shell để tối đa Output-Based Test</t>
  </si>
  <si>
    <t>Presentation + Live Coding Demo + Refactoring Exercise</t>
  </si>
  <si>
    <t>Slides, IDE, code mẫu file reader/writer + calculation engine</t>
  </si>
  <si>
    <t>Thứ tự ưu tiên: Output-Based &gt; State-Based &gt; Communication-Based</t>
  </si>
  <si>
    <t>Chương 7: Tái Cấu Trúc Hướng Đến Test Có Giá Trị &amp; Anti-Pattern</t>
  </si>
  <si>
    <t>1. Bốn Quadrant của Production Code (Domain Model, Overcomplicated Code, Trivial Code, Controllers)
2. Humble Object Pattern để tách Overcomplicated Code
3. Live Demo 4: Humble Object Pattern trong thực tế (~5 phút)
4. 5 Anti-pattern phổ biến: test private method, lộ private state, code pollution, mock concrete class, time-dependent flaky test
5. Live Demo 5: Tiêu diệt bug thời gian &amp; flakiness (~5 phút)</t>
  </si>
  <si>
    <t>1. Domain Model (complexity cao, ít collaborator) = vùng vàng, viết Output-Based Unit Test. Overcomplicated Code (complexity cao, nhiều collaborator) = vùng nguy hiểm nhất, không test tốt được, cần refactor ngay. Trivial Code (complexity thấp, ít collaborator) = getter/setter, ROI test quá thấp, không cần đầu tư test. Controllers (complexity thấp, nhiều collaborator) = orchestrator I/O, dùng Integration Test thay Unit Test
2. Humble Object: tách logic business (pure, dễ test bằng Output-Based Test) ra khỏi orchestrator/controller (Humble Object) chỉ điều phối infrastructure, không chứa business logic
3. Live Demo: 1 legacy class kết nối DB + tính loyalty tier + ghi log trong 1 method -&gt; trích logic tính loyalty thành pure class LoyaltyCalculator -&gt; tạo LoyaltyController (Humble Object) chỉ fetch DB + gọi Calculator -&gt; viết Output-Based test cho LoyaltyCalculator, không mock, không DB, chạy micro-giây
4. Anti-pattern 1: test private method bằng reflection/đổi visibility - sai, hãy test qua public behavior. Anti-pattern 2: lộ private state chỉ để test được. Anti-pattern 3: code pollution (VD if(isTestEnvironment)) đầu độc production code. Anti-pattern 4: mock concrete class (kế thừa real behavior, non-deterministic) - chỉ nên mock interface đại diện architectural boundary. Anti-pattern 5: dùng LocalDateTime.now() trong domain logic gây flaky test (pass ban ngày, fail nửa đêm) - fix bằng inject java.time.Clock (Clock.fixed()) hoặc truyền timestamp như parameter
5. Live Demo: tái hiện flaky test trong nightly build -&gt; chẩn đoán nguyên nhân LocalDateTime.now() -&gt; refactor dùng Clock.fixed()/explicit timestamp -&gt; test deterministic, pass mãi mãi bất kể giờ chạy CI</t>
  </si>
  <si>
    <t>Học viên nhận diện đúng quadrant của 1 đoạn code để chọn chiến lược test phù hợp, áp dụng được Humble Object Pattern, và tự rà soát/loại bỏ 5 anti-pattern phổ biến trong test suite hiện tại</t>
  </si>
  <si>
    <t>Presentation + Live Coding Demo x2 + Code Audit Exercise</t>
  </si>
  <si>
    <t>Slides, IDE, Mockito, LoyaltyCalculator/Controller code mẫu, java.time.Clock</t>
  </si>
  <si>
    <t>Tài liệu tham khảo: "Unit Testing: Principles, Practices, and Patterns" - Vladimir Khorikov</t>
  </si>
  <si>
    <t>Checklist Tổng Kết, Q&amp;A &amp; Kế Hoạch Triển Khai</t>
  </si>
  <si>
    <t>1. Checklist 4 bước cho Tech Lead: Đánh giá 4 trụ cột, Kiểm tra Mock usage, Kiến trúc Functional Core, Dọn dẹp Anti-pattern
2. Thảo luận: tỷ lệ Mock/Stub hiện tại của team, flaky test time-dependent trong nightly build, độ phù hợp Functional Core/Mutable Shell với kiến trúc hiện tại
3. Kế hoạch hành động: xác định Overcomplicated Zone trong codebase, lên lịch sprint refactor theo Humble Object Pattern</t>
  </si>
  <si>
    <t>Tổng kết toàn bộ Phần 2 bằng checklist 4 bước thực tế cho Tech Lead áp dụng ngay vào codebase team.
Mở thảo luận case thực tế: tỷ lệ Mock/Stub, flaky test, mức độ phù hợp của Functional Core/Mutable Shell.
Thống nhất kế hoạch: xác định vùng Overcomplicated trong codebase hiện tại làm điểm khởi đầu sprint refactor, ưu tiên class có debt kỹ thuật cao nhất và ảnh hưởng business lớn nhất</t>
  </si>
  <si>
    <t>Mỗi học viên/team xác định được ít nhất 1 vùng Overcomplicated Code trong project thực tế và có kế hoạch refactor bằng Humble Object Pattern trong sprint tới</t>
  </si>
  <si>
    <t>Discussion + Q&amp;A + Action Planning</t>
  </si>
  <si>
    <t>Slide tổng kết, Post-Training Survey Form (MS Forms), Post-Training Test</t>
  </si>
  <si>
    <t>Bài tập thực hành: áp dụng 4 Trụ Cột để review 3 test file trong project hiện tại của học viên trong 2 tuần tới</t>
  </si>
  <si>
    <t>TỔNG THỜI LƯỢNG ĐÀO TẠO (giờ:phút):</t>
  </si>
  <si>
    <t>MINDSET TRAINING - "HO-REN-SO" MODULE</t>
  </si>
  <si>
    <t xml:space="preserve">Mục tiêu đào tạo 
(Training Objectives): 
Example: 
After completing the training, the participants are able to:
- Understand the standard working mindset required in Japanese projects
- ...
</t>
  </si>
  <si>
    <t>Eg: All CMCG personnel about to join or currently working in projects for NTTD's Japanese clients</t>
  </si>
  <si>
    <t>Eg: 
1st time: Online via MS Teams
Quaterly Retrainings: E-Learning on LMS</t>
  </si>
  <si>
    <t>Eg: 
1. Post-Training Survey Form
2. Post-Training Test</t>
  </si>
  <si>
    <t>Eg: 1 hour (60 minutes)</t>
  </si>
  <si>
    <t>Eg: upto 20 pax/class</t>
  </si>
  <si>
    <t>Eg: 
- Pilot: CMCG Pham Khanh Linh &amp; NTTD Nguyen Ly Linh 
- Later: can be transfered to BrSE/PM/PMO/Training Specialist from both companies</t>
  </si>
  <si>
    <t>Kết quả kỳ vọng
(Expected Outcomes):
Example: 
- The average learner satisfaction rating for the course is 4.0/5.0 or higher
- 100% of participants pass the Post-Training Test</t>
  </si>
  <si>
    <t>Eg:
- 1st time: before joining project
- Retrainings: quarterly/ twice a year
- Class timing: 16:30 - 17:30 Friday</t>
  </si>
  <si>
    <t>Eg: Participants must have completed the onboard training by CMCG before joining this session</t>
  </si>
  <si>
    <t>Eg: 4 groups x 5 participants/group
(only in case of Offline Training)</t>
  </si>
  <si>
    <t>Introduction</t>
  </si>
  <si>
    <t>Definitions</t>
  </si>
  <si>
    <t>1….
2….</t>
  </si>
  <si>
    <t>1….
1.1…
1.2…
1.3…
2….
2.1….
2.2….
2.3….</t>
  </si>
  <si>
    <t>Eg: Presentation/Group discussion/ Roleplay/Demo/MiniQuiz,…</t>
  </si>
  <si>
    <t>Eg: 
Slides
Handouts</t>
  </si>
  <si>
    <t>Principles of Ho-Ren-So in Japanese projects</t>
  </si>
  <si>
    <t>1….
2….
3…</t>
  </si>
  <si>
    <t>Conclusion</t>
  </si>
  <si>
    <t>POST-TEST — BUỔI 1: UNIT TESTING PHẦN 1</t>
  </si>
  <si>
    <t>Java 17+  ·  JUnit 5  ·  Mockito  |  Giảng viên: Trịnh Tuấn Vũ</t>
  </si>
  <si>
    <t>15 câu trắc nghiệm  ·  Tổng 15 điểm  ·  Điểm đạt yêu cầu: ≥ 11/15 (73%)  ·  Thời gian: 15 phút  ·  Công cụ: MS Forms / Kahoot</t>
  </si>
  <si>
    <t>#</t>
  </si>
  <si>
    <t>Phần</t>
  </si>
  <si>
    <t>Chủ đề</t>
  </si>
  <si>
    <t>Câu hỏi</t>
  </si>
  <si>
    <t>Code mẫu (nếu có)</t>
  </si>
  <si>
    <t>A</t>
  </si>
  <si>
    <t>B</t>
  </si>
  <si>
    <t>C</t>
  </si>
  <si>
    <t>D</t>
  </si>
  <si>
    <t>Đáp án</t>
  </si>
  <si>
    <t>Giải thích</t>
  </si>
  <si>
    <t>Phần 1
Mục tiêu &amp;
Coverage Metric
(Chương 1)</t>
  </si>
  <si>
    <t>Mục tiêu unit testing</t>
  </si>
  <si>
    <t>Mục tiêu thực sự của unit testing là gì?</t>
  </si>
  <si>
    <t>—</t>
  </si>
  <si>
    <t>Đạt tỷ lệ code coverage ≥ 80% để CI pipeline không bị block</t>
  </si>
  <si>
    <t>Phát hiện toàn bộ bug trước khi release</t>
  </si>
  <si>
    <t>Duy trì khả năng phát triển bền vững của phần mềm theo thời gian</t>
  </si>
  <si>
    <t>Giảm thời gian debugging và tăng tốc độ onboard cho developer mới</t>
  </si>
  <si>
    <t>Coverage — Negative Indicator</t>
  </si>
  <si>
    <t>Coverage metric được gọi là "negative indicator tốt" có nghĩa là:</t>
  </si>
  <si>
    <t>Coverage càng thấp thì test suite càng tệ và cần fix ngay</t>
  </si>
  <si>
    <t>Coverage thấp là dấu hiệu có thể chưa test đủ — nhưng coverage cao không đảm bảo test chất lượng</t>
  </si>
  <si>
    <t>Coverage metric không có giá trị sử dụng trong thực tế</t>
  </si>
  <si>
    <t>Chỉ branch coverage mới là negative indicator, line coverage thì không</t>
  </si>
  <si>
    <t>Chiều "thấp → cần test thêm" là đáng tin. Chiều ngược lại (cao → chất lượng tốt) là sai — 100% coverage vẫn có thể là ảo giác nếu test không có assertion đúng.</t>
  </si>
  <si>
    <t>Assertion-free test</t>
  </si>
  <si>
    <t>Đoạn test sau có vấn đề nghiêm trọng nhất là gì?</t>
  </si>
  <si>
    <t>Test quá dài, nên tách thành 3 test riêng biệt</t>
  </si>
  <si>
    <t>Không được dùng System.out.println trong @Test method</t>
  </si>
  <si>
    <t>Không có assertion nào — test luôn pass dù code sai hoàn toàn, tạo ảo giác coverage</t>
  </si>
  <si>
    <t>Cần dùng @ParameterizedTest thay vì tạo 3 object riêng biệt</t>
  </si>
  <si>
    <t>Đây là assertion-free test — pattern nguy hiểm nhất từ Chương 1. JaCoCo báo coverage cao, CI xanh, nhưng không có gì thực sự được kiểm tra. Mọi bug trong PaymentService đều lọt qua.</t>
  </si>
  <si>
    <t>Phần 2
Trường Phái &amp;
Dependency
(Chương 2)</t>
  </si>
  <si>
    <t>London School — định nghĩa unit</t>
  </si>
  <si>
    <t>London School định nghĩa "unit" trong Unit Test là gì?</t>
  </si>
  <si>
    <t>Một hành vi nghiệp vụ hoàn chỉnh, có thể gồm nhiều class phối hợp</t>
  </si>
  <si>
    <t>Một module hoặc service trong kiến trúc microservice</t>
  </si>
  <si>
    <t>Một class duy nhất — toàn bộ dependency đều phải được mock</t>
  </si>
  <si>
    <t>Một method duy nhất trong production code</t>
  </si>
  <si>
    <t>London School: unit = 1 class, isolation = tách class khỏi tất cả collaborator bằng mock. Classical School (ngược lại): unit = 1 hành vi nghiệp vụ, chỉ mock out-of-process dependency.</t>
  </si>
  <si>
    <t>Classical School — khi nào mock</t>
  </si>
  <si>
    <t>Theo Classical School, loại dependency nào cần bắt buộc mock trong unit test?</t>
  </si>
  <si>
    <t>Tất cả dependency để đảm bảo isolation tuyệt đối</t>
  </si>
  <si>
    <t>Chỉ dependency được inject qua constructor</t>
  </si>
  <si>
    <t>Out-of-process dependency (DB, message queue, SMTP, REST API ngoài) và Shared dependency</t>
  </si>
  <si>
    <t>Chỉ dependency có interface — không mock concrete class</t>
  </si>
  <si>
    <t>Classical School mock những thứ chạy ngoài JVM (out-of-process) hoặc chia sẻ state giữa các test (shared). Domain object, value object, helper logic thuần Java → dùng real object.</t>
  </si>
  <si>
    <t>3 loại dependency</t>
  </si>
  <si>
    <t>Phân loại dependency nào sau đây là chính xác?</t>
  </si>
  <si>
    <t>java.util.ArrayList&lt;Order&gt; nội bộ của OrderService → Shared Dependency</t>
  </si>
  <si>
    <t>BCryptPasswordEncoder (chỉ băm chuỗi, không có I/O) → Out-of-Process Dependency</t>
  </si>
  <si>
    <t>UserSessionCache là Singleton được inject vào nhiều Service → Shared Dependency</t>
  </si>
  <si>
    <t>MySQL DataSource connection → Private Dependency</t>
  </si>
  <si>
    <t>Shared = dùng chung giữa nhiều test/class, có thể tạo coupling chéo. Singleton inject là điển hình. ArrayList nội bộ = Private. BCryptPasswordEncoder = Private (thuần logic). DataSource = Out-of-Process (kết nối DB bên ngoài JVM).</t>
  </si>
  <si>
    <t>False Positive</t>
  </si>
  <si>
    <t>"False Positive" trong unit testing là:</t>
  </si>
  <si>
    <t>Test phát hiện bug không tồn tại trong production</t>
  </si>
  <si>
    <t>Test pass trong khi production code thực sự có bug</t>
  </si>
  <si>
    <t>Test báo đỏ (fail) khi production code thực ra đúng — thường xảy ra sau khi refactor implementation detail</t>
  </si>
  <si>
    <t>Test chạy chậm bất thường do môi trường CI không ổn định</t>
  </si>
  <si>
    <t>False Positive = test nói "lỗi" nhưng không có lỗi thật. Nguyên nhân điển hình: test gắn vào tên method hoặc cấu trúc nội bộ (Structural Coupling). Refactor đúng cách → test đỏ vô lý → developer mất niềm tin vào test suite.</t>
  </si>
  <si>
    <t>Stub vs Mock — verify sai</t>
  </si>
  <si>
    <t>Trong đoạn test sau, dòng nào vi phạm nguyên tắc Mock vs Stub?</t>
  </si>
  <si>
    <t>when(userRepo.findByEmail("alice@dev.io"))
    .thenReturn(Optional.of(new User(1L, "alice@dev.io")));
service.deactivateAccount("alice@dev.io");
verify(userRepo).findByEmail("alice@dev.io");           // (A)
verify(auditLog).record(any(AuditEvent.class));         // (B)
verify(emailGateway).sendDeactivationNotice(anyString()); // (C)</t>
  </si>
  <si>
    <t>Dòng A — không được verify findByEmail vì nó là Stub cung cấp data đầu vào, không phải outgoing command</t>
  </si>
  <si>
    <t>Dòng B — auditLog nên dùng real object thay vì mock</t>
  </si>
  <si>
    <t>Dòng C — emailGateway không nên verify vì là internal detail</t>
  </si>
  <si>
    <t>Dòng A vi phạm — userRepo.findByEmail đã được khai báo làm Stub; verify vào Stub tạo Structural Coupling và false positive khi đổi tên method</t>
  </si>
  <si>
    <t>Chọn D vì đầy đủ hơn A. userRepo.findByEmail là incoming data (Stub) — KHÔNG verify. Dòng B (auditLog) và C (emailGateway) là outgoing command đến external system → verify là đúng.</t>
  </si>
  <si>
    <t>Structural Coupling</t>
  </si>
  <si>
    <t>Tại sao Structural Coupling — hệ quả của London School khi mock quá tay — lại nguy hiểm trong dài hạn?</t>
  </si>
  <si>
    <t>Vì mock nhiều làm test chạy chậm hơn dùng real object</t>
  </si>
  <si>
    <t>Vì Structural Coupling khiến team khó onboard developer mới vào codebase</t>
  </si>
  <si>
    <t>Vì test gắn chặt vào implementation detail — mỗi lần refactor đúng cách thì test đỏ hàng loạt, developer bắt đầu bỏ qua test fail và không dám refactor nữa</t>
  </si>
  <si>
    <t>Vì London School không cho phép viết integration test song song với unit test</t>
  </si>
  <si>
    <t>Vòng lặp nguy hiểm: refactor → test đỏ hàng loạt → fix test mất thời gian → quyết định "lần sau không refactor". Codebase đóng băng, entropy tăng. Test nhiều nhưng không giúp được gì — thậm chí trở thành rào cản.</t>
  </si>
  <si>
    <t>Phần 3
Cấu Trúc &amp;
Chất Lượng Test
(Chương 3)</t>
  </si>
  <si>
    <t>AAA — Act = 1 dòng</t>
  </si>
  <si>
    <t>Trong AAA Pattern, phần "Act" phải tuân theo quy tắc nào?</t>
  </si>
  <si>
    <t>Chứa toàn bộ assertEquals và verify sau khi thực thi</t>
  </si>
  <si>
    <t>Có thể chứa nhiều dòng nếu các bước liên quan chặt chẽ với nhau</t>
  </si>
  <si>
    <t>Phải bao gồm cả setup mock và gọi method cần test</t>
  </si>
  <si>
    <t>Chứa đúng 1 dòng — gọi duy nhất 1 method hoặc 1 hành vi cần kiểm tra</t>
  </si>
  <si>
    <t>Act = 1 dòng là quy tắc cứng không có ngoại lệ. Act nhiều dòng là code smell của production code (thiếu encapsulation), không phải lỗi của test. Fix bằng cách thêm method vào production class.</t>
  </si>
  <si>
    <t>Naming convention</t>
  </si>
  <si>
    <t>Tên test nào đúng chuẩn business fact naming?</t>
  </si>
  <si>
    <t>testCalculateDiscount_VIP_returns80()</t>
  </si>
  <si>
    <t>calculate_should_return_discounted_value()</t>
  </si>
  <si>
    <t>DiscountCalculator_VIP_DiscountTest()</t>
  </si>
  <si>
    <t>vip_customer_purchasing_above_500k_receives_20_percent_discount()</t>
  </si>
  <si>
    <t>Tên đúng chuẩn: không prefix "test", không mention tên method/class, mô tả rõ scenario (VIP + điều kiện) và expected outcome (20% discount), đọc như một câu fact về hệ thống. Khi CI fail, đọc tên biết ngay business rule nào vỡ.</t>
  </si>
  <si>
    <t>Không có if/else trong test</t>
  </si>
  <si>
    <t>Tại sao không được có if / else / for / while trong thân test?</t>
  </si>
  <si>
    <t>JUnit 5 không cho phép cú pháp điều kiện trong @Test method</t>
  </si>
  <si>
    <t>Conditional làm CI pipeline chạy chậm hơn đáng kể</t>
  </si>
  <si>
    <t>Conditional làm assertion có thể bị bỏ qua — nếu điều kiện if sai, assertEquals bên trong không chạy, test vẫn xanh dù không kiểm tra gì</t>
  </si>
  <si>
    <t>Chỉ không được dùng if, còn for với collection vẫn chấp nhận được</t>
  </si>
  <si>
    <t>if (x != null) { assertEquals(...) } — nếu x là null, if = false, assertion bị skip hoàn toàn, test xanh. Đây là false green. Fix: bỏ if, gọi thẳng assertEquals — nếu x null thì NullPointerException, test đỏ đúng lý do.</t>
  </si>
  <si>
    <t>Act nhiều dòng — fix đúng cách</t>
  </si>
  <si>
    <t>Act block có 3 dòng như sau — cách xử lý đúng nhất là gì?</t>
  </si>
  <si>
    <t>// Act — hiện tại
invoice.calculate();
invoice.applyLateFee();
invoice.generatePdf();</t>
  </si>
  <si>
    <t>Tách thành 3 test method riêng biệt để mỗi test có đúng 1 dòng Act</t>
  </si>
  <si>
    <t>Gộp 3 dòng bằng method chaining: invoice.calculate().applyLateFee().generatePdf()</t>
  </si>
  <si>
    <t>Refactor production code — tạo invoice.finalize() encapsulate cả 3 bước; test chỉ gọi method này</t>
  </si>
  <si>
    <t>Đây là ngoại lệ chấp nhận được vì 3 bước liên quan đến nhau</t>
  </si>
  <si>
    <t>Act nhiều dòng là code smell của production code, không phải của test. Nếu 3 bước luôn phải xảy ra cùng nhau, production code cần một method encapsulate chúng. Tách thành 3 test riêng (A) sai — 3 hành vi không độc lập với nhau.</t>
  </si>
  <si>
    <t>Phần 4
Vận Dụng
Tổng Hợp</t>
  </si>
  <si>
    <t>London vs Classical — refactor scenario</t>
  </si>
  <si>
    <t>OrderService.placeOrder() được refactor: method validateStock() đổi tên thành checkInventory() — logic không thay đổi. Test nào sẽ đỏ sau refactor?</t>
  </si>
  <si>
    <t>// Test A (London School):
verify(inventoryService).validateStock("PROD-01", 5);
// Test B (Classical School):
assertEquals(5, warehouse.getAvailableQuantity("PROD-01"));</t>
  </si>
  <si>
    <t>Cả A và B đều đỏ — refactor tên method ảnh hưởng cả hai</t>
  </si>
  <si>
    <t>Chỉ B đỏ — Classical test gắn vào state của warehouse</t>
  </si>
  <si>
    <t>Chỉ A đỏ — London test verify tên method cụ thể, đổi tên là fail ngay dù behavior không đổi</t>
  </si>
  <si>
    <t>Cả A và B đều xanh — unit test không bị ảnh hưởng bởi rename</t>
  </si>
  <si>
    <t>Test A verify validateStock — sau rename thành checkInventory, Mockito không tìm thấy interaction → test đỏ. Đây là Structural Coupling điển hình. Test B verify state kết quả (quantity) — không quan tâm production code dùng tên method gì → vẫn xanh.</t>
  </si>
  <si>
    <t>So sánh test tốt và test xấu</t>
  </si>
  <si>
    <t>Test nào tốt hơn và tại sao? (Xem code mẫu)</t>
  </si>
  <si>
    <t>// Test A
void testSendEmail() {
    EmailService emailMock = mock(EmailService.class);
    NotificationService svc = new NotificationService(emailMock);
    svc.notifyUser(1L, "Order confirmed");
    verify(emailMock).send(anyString(), anyString());
}
// Test B
void notifying_user_should_send_confirmation_email() {
    FakeEmailService fakeEmail = new FakeEmailService();
    NotificationService svc = new NotificationService(fakeEmail);
    svc.notifyUser(new User(1L, "tuan@dev.io"), "Order confirmed");
    assertEquals("tuan@dev.io", fakeEmail.getLastRecipient());
    assertTrue(fakeEmail.getLastBody().contains("Order confirmed"));
}</t>
  </si>
  <si>
    <t>Test A — ngắn gọn, dùng Mockito chuẩn, dễ đọc hơn</t>
  </si>
  <si>
    <t>Cả hai tương đương, tùy theo convention của team</t>
  </si>
  <si>
    <t>Test A — verify nghiêm ngặt hơn assertEquals</t>
  </si>
  <si>
    <t>Test B — tên mô tả business fact; verify đúng recipient address; FakeEmailService tránh Structural Coupling; Test A dùng anyString() quá vague, gửi cho ai cũng pass</t>
  </si>
  <si>
    <t>Test A: verify(emailMock).send(anyString(), anyString()) — gửi email cho bất kỳ ai cũng pass. Nếu code gửi nhầm địa chỉ, test vẫn xanh. Test B verify đúng "tuan@dev.io" và nội dung — observable business outcome. FakeEmailService = Classical style, tránh Structural Coupling.</t>
  </si>
  <si>
    <t>BẢNG ĐÁP ÁN NHANH</t>
  </si>
  <si>
    <t>Câu</t>
  </si>
  <si>
    <t>THANG ĐIỂM</t>
  </si>
  <si>
    <t>Điểm</t>
  </si>
  <si>
    <t>Phần trăm</t>
  </si>
  <si>
    <t>Đánh giá</t>
  </si>
  <si>
    <t>14–15</t>
  </si>
  <si>
    <t>93–100%</t>
  </si>
  <si>
    <t>Xuất sắc — sẵn sàng áp dụng ngay</t>
  </si>
  <si>
    <t>11–13</t>
  </si>
  <si>
    <t>73–87%</t>
  </si>
  <si>
    <t>Đạt — nắm vững, cần thực hành thêm</t>
  </si>
  <si>
    <t>8–10</t>
  </si>
  <si>
    <t>53–67%</t>
  </si>
  <si>
    <t>Cần ôn lại phần còn yếu trước Buổi 2</t>
  </si>
  <si>
    <t>&lt; 8</t>
  </si>
  <si>
    <t>&lt; 53%</t>
  </si>
  <si>
    <t>Cần xem lại toàn bộ tài liệu bài giảng</t>
  </si>
  <si>
    <t>Coverage là phương tiện, không phải mục tiêu. Mục tiêu cốt lõi là "Sustainable Growth" — dự án tăng tốc độ feature delivery trong dài hạn chứ không bị chậm dần theo entropy.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</si>
</sst>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Light"/>
      <family val="2"/>
      <scheme val="major"/>
    </font>
    <font>
      <b/>
      <sz val="11"/>
      <color theme="1"/>
      <name val="Calibri Light"/>
      <family val="2"/>
      <scheme val="major"/>
    </font>
    <font>
      <b/>
      <sz val="11"/>
      <color theme="0"/>
      <name val="Calibri Light"/>
      <family val="2"/>
      <scheme val="major"/>
    </font>
    <font>
      <sz val="11"/>
      <color theme="0"/>
      <name val="Calibri Light"/>
      <family val="2"/>
      <scheme val="major"/>
    </font>
    <font>
      <b/>
      <sz val="11"/>
      <color rgb="FFFFFFFF"/>
      <name val="Calibri Light"/>
      <scheme val="major"/>
    </font>
    <font>
      <b/>
      <sz val="18"/>
      <color theme="0"/>
      <name val="Calibri Light"/>
      <family val="2"/>
      <scheme val="major"/>
    </font>
    <font>
      <sz val="11"/>
      <color rgb="FFFFFFFF"/>
      <name val="Calibri Light"/>
      <family val="2"/>
      <scheme val="major"/>
    </font>
    <font>
      <b/>
      <sz val="24"/>
      <color rgb="FFFF0000"/>
      <name val="Calibri Light"/>
      <family val="2"/>
      <scheme val="major"/>
    </font>
    <font>
      <b/>
      <sz val="11"/>
      <name val="Calibri Light"/>
    </font>
    <font>
      <b/>
      <sz val="16"/>
      <color rgb="FFFFFFFF"/>
      <name val="Calibri"/>
    </font>
    <font>
      <i/>
      <sz val="10"/>
      <color rgb="FF595959"/>
      <name val="Calibri"/>
    </font>
    <font>
      <b/>
      <sz val="10"/>
      <color rgb="FF1F4E79"/>
      <name val="Calibri"/>
    </font>
    <font>
      <b/>
      <sz val="9"/>
      <color rgb="FFFFFFFF"/>
      <name val="Calibri"/>
    </font>
    <font>
      <b/>
      <sz val="10"/>
      <color rgb="FFFFFFFF"/>
      <name val="Calibri"/>
    </font>
    <font>
      <b/>
      <sz val="8"/>
      <color rgb="FF1F4E79"/>
      <name val="Calibri"/>
    </font>
    <font>
      <i/>
      <sz val="8.5"/>
      <color rgb="FF444444"/>
      <name val="Calibri"/>
    </font>
    <font>
      <b/>
      <sz val="9"/>
      <name val="Calibri"/>
    </font>
    <font>
      <sz val="9"/>
      <color rgb="FFAAAAAA"/>
      <name val="Calibri"/>
    </font>
    <font>
      <sz val="9"/>
      <color rgb="FF000000"/>
      <name val="Calibri"/>
    </font>
    <font>
      <b/>
      <sz val="9"/>
      <color rgb="FF1A5276"/>
      <name val="Calibri"/>
    </font>
    <font>
      <b/>
      <sz val="14"/>
      <color rgb="FFFFFFFF"/>
      <name val="Calibri"/>
    </font>
    <font>
      <sz val="8.5"/>
      <color rgb="FF333333"/>
      <name val="Calibri"/>
    </font>
    <font>
      <sz val="7.5"/>
      <color rgb="FF333333"/>
      <name val="Courier New"/>
    </font>
    <font>
      <b/>
      <sz val="11"/>
      <color rgb="FFFFFFFF"/>
      <name val="Calibri"/>
    </font>
    <font>
      <b/>
      <sz val="12"/>
      <color rgb="FFFFFFFF"/>
      <name val="Calibri"/>
    </font>
    <font>
      <sz val="9"/>
      <name val="Calibri"/>
    </font>
  </fonts>
  <fills count="19">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rgb="FF1F4E79"/>
      </patternFill>
    </fill>
    <fill>
      <patternFill patternType="solid">
        <fgColor rgb="FFD6E4F0"/>
      </patternFill>
    </fill>
    <fill>
      <patternFill patternType="solid">
        <fgColor rgb="FF2E75B6"/>
      </patternFill>
    </fill>
    <fill>
      <patternFill patternType="solid">
        <fgColor rgb="FFBDD7EE"/>
      </patternFill>
    </fill>
    <fill>
      <patternFill patternType="solid">
        <fgColor rgb="FFFFFFFF"/>
      </patternFill>
    </fill>
    <fill>
      <patternFill patternType="solid">
        <fgColor rgb="FFC6EFCE"/>
      </patternFill>
    </fill>
    <fill>
      <patternFill patternType="solid">
        <fgColor rgb="FF375623"/>
      </patternFill>
    </fill>
    <fill>
      <patternFill patternType="solid">
        <fgColor rgb="FFFFFDE7"/>
      </patternFill>
    </fill>
    <fill>
      <patternFill patternType="solid">
        <fgColor rgb="FFF2F2F2"/>
      </patternFill>
    </fill>
    <fill>
      <patternFill patternType="solid">
        <fgColor rgb="FFD9E1F2"/>
      </patternFill>
    </fill>
    <fill>
      <patternFill patternType="solid">
        <fgColor rgb="FFE2EFDA"/>
      </patternFill>
    </fill>
    <fill>
      <patternFill patternType="solid">
        <fgColor rgb="FFFCE4D6"/>
      </patternFill>
    </fill>
    <fill>
      <patternFill patternType="solid">
        <fgColor rgb="FFFFEB9C"/>
      </patternFill>
    </fill>
    <fill>
      <patternFill patternType="solid">
        <fgColor rgb="FFFFCC99"/>
      </patternFill>
    </fill>
    <fill>
      <patternFill patternType="solid">
        <fgColor rgb="FFFFC7CE"/>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1">
    <xf numFmtId="0" fontId="0" fillId="0" borderId="0" xfId="0"/>
    <xf numFmtId="0" fontId="1" fillId="0" borderId="0" xfId="0" applyFont="1"/>
    <xf numFmtId="0" fontId="1" fillId="0" borderId="0" xfId="0" applyFont="1" applyAlignment="1">
      <alignment vertical="top"/>
    </xf>
    <xf numFmtId="0" fontId="1" fillId="2" borderId="0" xfId="0" applyFont="1" applyFill="1"/>
    <xf numFmtId="0" fontId="1" fillId="0" borderId="0" xfId="0" applyFont="1" applyAlignment="1">
      <alignment horizontal="center" vertical="top"/>
    </xf>
    <xf numFmtId="0" fontId="1" fillId="0" borderId="13" xfId="0" applyFont="1" applyBorder="1" applyAlignment="1">
      <alignment vertical="center"/>
    </xf>
    <xf numFmtId="0" fontId="1" fillId="0" borderId="18" xfId="0" applyFont="1" applyBorder="1" applyAlignment="1">
      <alignment vertical="center"/>
    </xf>
    <xf numFmtId="0" fontId="1" fillId="0" borderId="1" xfId="0" applyFont="1" applyBorder="1" applyAlignment="1">
      <alignment vertical="center"/>
    </xf>
    <xf numFmtId="0" fontId="1" fillId="0" borderId="9" xfId="0" applyFont="1" applyBorder="1" applyAlignment="1">
      <alignment vertical="center"/>
    </xf>
    <xf numFmtId="0" fontId="2" fillId="2" borderId="5" xfId="0" applyFont="1" applyFill="1" applyBorder="1" applyAlignment="1">
      <alignment horizontal="left" vertical="center"/>
    </xf>
    <xf numFmtId="0" fontId="2" fillId="2" borderId="0" xfId="0" applyFont="1" applyFill="1" applyAlignment="1">
      <alignment horizontal="left" vertical="center"/>
    </xf>
    <xf numFmtId="0" fontId="1" fillId="2" borderId="0" xfId="0" applyFont="1" applyFill="1" applyAlignment="1">
      <alignment horizontal="left" vertical="center"/>
    </xf>
    <xf numFmtId="0" fontId="1" fillId="2" borderId="7" xfId="0" applyFont="1" applyFill="1" applyBorder="1" applyAlignment="1">
      <alignment vertical="center"/>
    </xf>
    <xf numFmtId="0" fontId="1" fillId="2" borderId="0" xfId="0" applyFont="1" applyFill="1" applyAlignment="1">
      <alignment horizontal="left"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1" fillId="0" borderId="0" xfId="0" applyFont="1" applyAlignment="1">
      <alignment vertical="center"/>
    </xf>
    <xf numFmtId="20" fontId="1" fillId="0" borderId="10" xfId="0" applyNumberFormat="1" applyFont="1" applyBorder="1" applyAlignment="1">
      <alignment horizontal="center" vertical="center"/>
    </xf>
    <xf numFmtId="20" fontId="1" fillId="0" borderId="1" xfId="0" applyNumberFormat="1" applyFont="1" applyBorder="1" applyAlignment="1">
      <alignment horizontal="center" vertical="center"/>
    </xf>
    <xf numFmtId="0" fontId="2" fillId="0" borderId="1" xfId="0" applyFont="1" applyBorder="1" applyAlignment="1">
      <alignment vertical="center"/>
    </xf>
    <xf numFmtId="0" fontId="2" fillId="0" borderId="13" xfId="0" applyFont="1" applyBorder="1" applyAlignment="1">
      <alignment vertical="center"/>
    </xf>
    <xf numFmtId="0" fontId="2" fillId="0" borderId="1" xfId="0" applyFont="1" applyBorder="1" applyAlignment="1">
      <alignment vertical="center" wrapText="1"/>
    </xf>
    <xf numFmtId="20" fontId="1" fillId="0" borderId="13" xfId="0" applyNumberFormat="1" applyFont="1" applyBorder="1" applyAlignment="1">
      <alignment horizontal="center" vertical="center"/>
    </xf>
    <xf numFmtId="20" fontId="1" fillId="0" borderId="19" xfId="0" applyNumberFormat="1" applyFont="1" applyBorder="1" applyAlignment="1">
      <alignment horizontal="center" vertical="center"/>
    </xf>
    <xf numFmtId="0" fontId="1" fillId="0" borderId="13" xfId="0" applyFont="1" applyBorder="1" applyAlignment="1">
      <alignment vertical="center" wrapText="1"/>
    </xf>
    <xf numFmtId="0" fontId="1" fillId="0" borderId="1" xfId="0" applyFont="1" applyBorder="1" applyAlignment="1">
      <alignment vertical="center" wrapText="1"/>
    </xf>
    <xf numFmtId="0" fontId="1" fillId="0" borderId="9"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1" fillId="2" borderId="8" xfId="0" applyFont="1" applyFill="1" applyBorder="1" applyAlignment="1">
      <alignment vertical="center" wrapText="1"/>
    </xf>
    <xf numFmtId="0" fontId="1" fillId="0" borderId="1" xfId="0" applyFont="1" applyBorder="1" applyAlignment="1">
      <alignment vertical="top"/>
    </xf>
    <xf numFmtId="0" fontId="1" fillId="0" borderId="1" xfId="0" applyFont="1" applyBorder="1" applyAlignment="1">
      <alignment horizontal="left" vertical="top"/>
    </xf>
    <xf numFmtId="20" fontId="2" fillId="0" borderId="0" xfId="0" applyNumberFormat="1" applyFont="1" applyAlignment="1">
      <alignment horizontal="center" vertical="center"/>
    </xf>
    <xf numFmtId="0" fontId="9" fillId="0" borderId="0" xfId="0" applyFont="1" applyAlignment="1">
      <alignment horizontal="right" vertical="center"/>
    </xf>
    <xf numFmtId="0" fontId="13" fillId="6" borderId="30" xfId="0" applyFont="1" applyFill="1" applyBorder="1" applyAlignment="1">
      <alignment horizontal="center" vertical="center" wrapText="1"/>
    </xf>
    <xf numFmtId="0" fontId="14" fillId="6" borderId="30" xfId="0" applyFont="1" applyFill="1" applyBorder="1" applyAlignment="1">
      <alignment horizontal="center" vertical="center"/>
    </xf>
    <xf numFmtId="0" fontId="15" fillId="7" borderId="30" xfId="0" applyFont="1" applyFill="1" applyBorder="1" applyAlignment="1">
      <alignment horizontal="center" vertical="center" wrapText="1"/>
    </xf>
    <xf numFmtId="0" fontId="16" fillId="7" borderId="30" xfId="0" applyFont="1" applyFill="1" applyBorder="1" applyAlignment="1">
      <alignment horizontal="left" vertical="center" wrapText="1"/>
    </xf>
    <xf numFmtId="0" fontId="17" fillId="0" borderId="30" xfId="0" applyFont="1" applyBorder="1" applyAlignment="1">
      <alignment horizontal="left" vertical="top" wrapText="1"/>
    </xf>
    <xf numFmtId="0" fontId="18" fillId="0" borderId="30" xfId="0" applyFont="1" applyBorder="1" applyAlignment="1">
      <alignment horizontal="center" vertical="center"/>
    </xf>
    <xf numFmtId="0" fontId="19" fillId="8" borderId="30" xfId="0" applyFont="1" applyFill="1" applyBorder="1" applyAlignment="1">
      <alignment horizontal="left" vertical="top" wrapText="1"/>
    </xf>
    <xf numFmtId="0" fontId="20" fillId="9" borderId="30" xfId="0" applyFont="1" applyFill="1" applyBorder="1" applyAlignment="1">
      <alignment horizontal="left" vertical="top" wrapText="1"/>
    </xf>
    <xf numFmtId="0" fontId="21" fillId="10" borderId="30" xfId="0" applyFont="1" applyFill="1" applyBorder="1" applyAlignment="1">
      <alignment horizontal="center" vertical="center"/>
    </xf>
    <xf numFmtId="0" fontId="22" fillId="11" borderId="30" xfId="0" applyFont="1" applyFill="1" applyBorder="1" applyAlignment="1">
      <alignment horizontal="left" vertical="top" wrapText="1"/>
    </xf>
    <xf numFmtId="0" fontId="23" fillId="12" borderId="30" xfId="0" applyFont="1" applyFill="1" applyBorder="1" applyAlignment="1">
      <alignment horizontal="left" vertical="top" wrapText="1"/>
    </xf>
    <xf numFmtId="0" fontId="15" fillId="13" borderId="30" xfId="0" applyFont="1" applyFill="1" applyBorder="1" applyAlignment="1">
      <alignment horizontal="center" vertical="center" wrapText="1"/>
    </xf>
    <xf numFmtId="0" fontId="16" fillId="13" borderId="30" xfId="0" applyFont="1" applyFill="1" applyBorder="1" applyAlignment="1">
      <alignment horizontal="left" vertical="center" wrapText="1"/>
    </xf>
    <xf numFmtId="0" fontId="15" fillId="14" borderId="30" xfId="0" applyFont="1" applyFill="1" applyBorder="1" applyAlignment="1">
      <alignment horizontal="center" vertical="center" wrapText="1"/>
    </xf>
    <xf numFmtId="0" fontId="16" fillId="14" borderId="30" xfId="0" applyFont="1" applyFill="1" applyBorder="1" applyAlignment="1">
      <alignment horizontal="left" vertical="center" wrapText="1"/>
    </xf>
    <xf numFmtId="0" fontId="15" fillId="15" borderId="30" xfId="0" applyFont="1" applyFill="1" applyBorder="1" applyAlignment="1">
      <alignment horizontal="center" vertical="center" wrapText="1"/>
    </xf>
    <xf numFmtId="0" fontId="16" fillId="15" borderId="30" xfId="0" applyFont="1" applyFill="1" applyBorder="1" applyAlignment="1">
      <alignment horizontal="left" vertical="center" wrapText="1"/>
    </xf>
    <xf numFmtId="0" fontId="13" fillId="6" borderId="30" xfId="0" applyFont="1" applyFill="1" applyBorder="1" applyAlignment="1">
      <alignment horizontal="center" vertical="center"/>
    </xf>
    <xf numFmtId="0" fontId="17" fillId="0" borderId="30" xfId="0" applyFont="1" applyBorder="1" applyAlignment="1">
      <alignment horizontal="center" vertical="center"/>
    </xf>
    <xf numFmtId="0" fontId="25" fillId="10" borderId="30" xfId="0" applyFont="1" applyFill="1" applyBorder="1" applyAlignment="1">
      <alignment horizontal="center" vertical="center"/>
    </xf>
    <xf numFmtId="0" fontId="26" fillId="7" borderId="30" xfId="0" applyFont="1" applyFill="1" applyBorder="1" applyAlignment="1">
      <alignment horizontal="left" vertical="center" wrapText="1"/>
    </xf>
    <xf numFmtId="0" fontId="26" fillId="13" borderId="30" xfId="0" applyFont="1" applyFill="1" applyBorder="1" applyAlignment="1">
      <alignment horizontal="left" vertical="center" wrapText="1"/>
    </xf>
    <xf numFmtId="0" fontId="26" fillId="14" borderId="30" xfId="0" applyFont="1" applyFill="1" applyBorder="1" applyAlignment="1">
      <alignment horizontal="left" vertical="center" wrapText="1"/>
    </xf>
    <xf numFmtId="0" fontId="26" fillId="15" borderId="30" xfId="0" applyFont="1" applyFill="1" applyBorder="1" applyAlignment="1">
      <alignment horizontal="left" vertical="center" wrapText="1"/>
    </xf>
    <xf numFmtId="0" fontId="17" fillId="9" borderId="30" xfId="0" applyFont="1" applyFill="1" applyBorder="1" applyAlignment="1">
      <alignment horizontal="center" vertical="center" wrapText="1"/>
    </xf>
    <xf numFmtId="0" fontId="26" fillId="9" borderId="30" xfId="0" applyFont="1" applyFill="1" applyBorder="1" applyAlignment="1">
      <alignment horizontal="left" vertical="center" wrapText="1"/>
    </xf>
    <xf numFmtId="0" fontId="17" fillId="16" borderId="30" xfId="0" applyFont="1" applyFill="1" applyBorder="1" applyAlignment="1">
      <alignment horizontal="center" vertical="center" wrapText="1"/>
    </xf>
    <xf numFmtId="0" fontId="26" fillId="16" borderId="30" xfId="0" applyFont="1" applyFill="1" applyBorder="1" applyAlignment="1">
      <alignment horizontal="left" vertical="center" wrapText="1"/>
    </xf>
    <xf numFmtId="0" fontId="17" fillId="17" borderId="30" xfId="0" applyFont="1" applyFill="1" applyBorder="1" applyAlignment="1">
      <alignment horizontal="center" vertical="center" wrapText="1"/>
    </xf>
    <xf numFmtId="0" fontId="26" fillId="17" borderId="30" xfId="0" applyFont="1" applyFill="1" applyBorder="1" applyAlignment="1">
      <alignment horizontal="left" vertical="center" wrapText="1"/>
    </xf>
    <xf numFmtId="0" fontId="17" fillId="18" borderId="30" xfId="0" applyFont="1" applyFill="1" applyBorder="1" applyAlignment="1">
      <alignment horizontal="center" vertical="center" wrapText="1"/>
    </xf>
    <xf numFmtId="0" fontId="26" fillId="18" borderId="30" xfId="0" applyFont="1" applyFill="1" applyBorder="1" applyAlignment="1">
      <alignment horizontal="left" vertical="center" wrapText="1"/>
    </xf>
    <xf numFmtId="0" fontId="1" fillId="0" borderId="1" xfId="0" applyFont="1" applyBorder="1" applyAlignment="1">
      <alignment horizontal="center" vertical="center"/>
    </xf>
    <xf numFmtId="0" fontId="0" fillId="0" borderId="22" xfId="0" applyBorder="1"/>
    <xf numFmtId="0" fontId="0" fillId="0" borderId="13" xfId="0" applyBorder="1"/>
    <xf numFmtId="0" fontId="1" fillId="0" borderId="1" xfId="0" applyFont="1" applyBorder="1" applyAlignment="1">
      <alignment horizontal="left" vertical="top" wrapText="1"/>
    </xf>
    <xf numFmtId="0" fontId="0" fillId="0" borderId="21" xfId="0" applyBorder="1"/>
    <xf numFmtId="0" fontId="0" fillId="0" borderId="10" xfId="0" applyBorder="1"/>
    <xf numFmtId="0" fontId="4" fillId="3" borderId="17" xfId="0" applyFont="1" applyFill="1" applyBorder="1" applyAlignment="1">
      <alignment horizontal="center" vertical="center" wrapText="1"/>
    </xf>
    <xf numFmtId="0" fontId="0" fillId="0" borderId="25" xfId="0" applyBorder="1"/>
    <xf numFmtId="0" fontId="4" fillId="3" borderId="24" xfId="0" applyFont="1" applyFill="1" applyBorder="1" applyAlignment="1">
      <alignment horizontal="center" vertical="center" wrapText="1"/>
    </xf>
    <xf numFmtId="0" fontId="0" fillId="0" borderId="3" xfId="0" applyBorder="1"/>
    <xf numFmtId="0" fontId="7" fillId="3" borderId="24" xfId="0" applyFont="1" applyFill="1" applyBorder="1" applyAlignment="1">
      <alignment horizontal="center" vertical="center" wrapText="1"/>
    </xf>
    <xf numFmtId="0" fontId="0" fillId="0" borderId="22" xfId="0" applyBorder="1" applyAlignment="1">
      <alignment wrapText="1"/>
    </xf>
    <xf numFmtId="0" fontId="6" fillId="3" borderId="4" xfId="0" applyFont="1" applyFill="1" applyBorder="1" applyAlignment="1">
      <alignment horizontal="center" vertical="center"/>
    </xf>
    <xf numFmtId="0" fontId="0" fillId="0" borderId="6" xfId="0" applyBorder="1"/>
    <xf numFmtId="0" fontId="8" fillId="0" borderId="16" xfId="0" applyFont="1" applyBorder="1" applyAlignment="1">
      <alignment horizontal="center" vertical="center"/>
    </xf>
    <xf numFmtId="0" fontId="0" fillId="0" borderId="15" xfId="0" applyBorder="1"/>
    <xf numFmtId="0" fontId="4" fillId="3" borderId="14" xfId="0" applyFont="1" applyFill="1" applyBorder="1" applyAlignment="1">
      <alignment horizontal="center" vertical="center" wrapText="1"/>
    </xf>
    <xf numFmtId="0" fontId="0" fillId="0" borderId="23" xfId="0" applyBorder="1"/>
    <xf numFmtId="0" fontId="5" fillId="3" borderId="2" xfId="0" applyFont="1" applyFill="1" applyBorder="1" applyAlignment="1">
      <alignment horizontal="center" vertical="center" wrapText="1"/>
    </xf>
    <xf numFmtId="0" fontId="0" fillId="0" borderId="20" xfId="0" applyBorder="1"/>
    <xf numFmtId="0" fontId="2" fillId="0" borderId="1" xfId="0" applyFont="1" applyBorder="1" applyAlignment="1">
      <alignment horizontal="left" vertical="top" wrapText="1"/>
    </xf>
    <xf numFmtId="0" fontId="0" fillId="0" borderId="26" xfId="0" applyBorder="1"/>
    <xf numFmtId="0" fontId="0" fillId="0" borderId="27" xfId="0" applyBorder="1"/>
    <xf numFmtId="0" fontId="0" fillId="0" borderId="19" xfId="0" applyBorder="1"/>
    <xf numFmtId="0" fontId="0" fillId="0" borderId="28" xfId="0" applyBorder="1"/>
    <xf numFmtId="0" fontId="0" fillId="0" borderId="29" xfId="0" applyBorder="1"/>
    <xf numFmtId="0" fontId="3" fillId="3" borderId="14" xfId="0" applyFont="1" applyFill="1" applyBorder="1" applyAlignment="1">
      <alignment horizontal="center" vertical="center" wrapText="1"/>
    </xf>
    <xf numFmtId="0" fontId="0" fillId="0" borderId="17" xfId="0" applyBorder="1"/>
    <xf numFmtId="20" fontId="1" fillId="0" borderId="1" xfId="0" applyNumberFormat="1" applyFont="1" applyBorder="1" applyAlignment="1">
      <alignment horizontal="center" vertical="center"/>
    </xf>
    <xf numFmtId="0" fontId="12" fillId="5" borderId="0" xfId="0" applyFont="1" applyFill="1" applyAlignment="1">
      <alignment horizontal="center" vertical="center" wrapText="1"/>
    </xf>
    <xf numFmtId="0" fontId="0" fillId="0" borderId="0" xfId="0"/>
    <xf numFmtId="0" fontId="24" fillId="4" borderId="0" xfId="0" applyFont="1" applyFill="1" applyAlignment="1">
      <alignment horizontal="center" vertical="center"/>
    </xf>
    <xf numFmtId="0" fontId="11" fillId="0" borderId="0" xfId="0" applyFont="1" applyAlignment="1">
      <alignment horizontal="center" vertical="center"/>
    </xf>
    <xf numFmtId="0" fontId="10"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L15"/>
  <sheetViews>
    <sheetView showGridLines="0" topLeftCell="A6" zoomScale="80" zoomScaleNormal="80" workbookViewId="0">
      <selection activeCell="I6" sqref="I6"/>
    </sheetView>
  </sheetViews>
  <sheetFormatPr defaultColWidth="9.140625" defaultRowHeight="15" customHeight="1" x14ac:dyDescent="0.25"/>
  <cols>
    <col min="1" max="1" width="5.5703125" style="1" customWidth="1"/>
    <col min="2" max="2" width="11.5703125" style="1" customWidth="1"/>
    <col min="3" max="4" width="10.5703125" style="1" customWidth="1"/>
    <col min="5" max="5" width="11.85546875" style="1" customWidth="1"/>
    <col min="6" max="6" width="25.42578125" style="1" customWidth="1"/>
    <col min="7" max="7" width="23.7109375" style="1" customWidth="1"/>
    <col min="8" max="8" width="32.140625" style="1" customWidth="1"/>
    <col min="9" max="9" width="22" style="1" customWidth="1"/>
    <col min="10" max="10" width="35.5703125" style="1" customWidth="1"/>
    <col min="11" max="11" width="25.42578125" style="1" customWidth="1"/>
    <col min="12" max="12" width="29.42578125" style="2" customWidth="1"/>
    <col min="13" max="14" width="9.140625" style="1" customWidth="1"/>
    <col min="15" max="16384" width="9.140625" style="1"/>
  </cols>
  <sheetData>
    <row r="1" spans="2:12" ht="3.95" customHeight="1" thickBot="1" x14ac:dyDescent="0.3"/>
    <row r="2" spans="2:12" ht="42.95" customHeight="1" thickBot="1" x14ac:dyDescent="0.3">
      <c r="B2" s="81" t="s">
        <v>0</v>
      </c>
      <c r="C2" s="82"/>
      <c r="D2" s="82"/>
      <c r="E2" s="82"/>
      <c r="F2" s="82"/>
      <c r="G2" s="82"/>
      <c r="H2" s="82"/>
      <c r="I2" s="82"/>
      <c r="J2" s="82"/>
      <c r="K2" s="82"/>
      <c r="L2" s="82"/>
    </row>
    <row r="3" spans="2:12" ht="29.45" customHeight="1" x14ac:dyDescent="0.25">
      <c r="B3" s="79" t="s">
        <v>113</v>
      </c>
      <c r="C3" s="80"/>
      <c r="D3" s="80"/>
      <c r="E3" s="80"/>
      <c r="F3" s="80"/>
      <c r="G3" s="80"/>
      <c r="H3" s="80"/>
      <c r="I3" s="80"/>
      <c r="J3" s="80"/>
      <c r="K3" s="80"/>
      <c r="L3" s="80"/>
    </row>
    <row r="4" spans="2:12" ht="47.45" customHeight="1" x14ac:dyDescent="0.25">
      <c r="B4" s="87" t="s">
        <v>114</v>
      </c>
      <c r="C4" s="88"/>
      <c r="D4" s="88"/>
      <c r="E4" s="88"/>
      <c r="F4" s="89"/>
      <c r="G4" s="28" t="s">
        <v>3</v>
      </c>
      <c r="H4" s="28" t="s">
        <v>115</v>
      </c>
      <c r="I4" s="29" t="s">
        <v>5</v>
      </c>
      <c r="J4" s="29" t="s">
        <v>116</v>
      </c>
      <c r="K4" s="28" t="s">
        <v>7</v>
      </c>
      <c r="L4" s="28" t="s">
        <v>117</v>
      </c>
    </row>
    <row r="5" spans="2:12" ht="92.45" customHeight="1" x14ac:dyDescent="0.25">
      <c r="B5" s="90"/>
      <c r="C5" s="91"/>
      <c r="D5" s="91"/>
      <c r="E5" s="91"/>
      <c r="F5" s="92"/>
      <c r="G5" s="28" t="s">
        <v>9</v>
      </c>
      <c r="H5" s="31" t="s">
        <v>118</v>
      </c>
      <c r="I5" s="29" t="s">
        <v>11</v>
      </c>
      <c r="J5" s="32" t="s">
        <v>119</v>
      </c>
      <c r="K5" s="29" t="s">
        <v>13</v>
      </c>
      <c r="L5" s="28" t="s">
        <v>120</v>
      </c>
    </row>
    <row r="6" spans="2:12" ht="90.95" customHeight="1" x14ac:dyDescent="0.25">
      <c r="B6" s="70" t="s">
        <v>121</v>
      </c>
      <c r="C6" s="71"/>
      <c r="D6" s="71"/>
      <c r="E6" s="71"/>
      <c r="F6" s="72"/>
      <c r="G6" s="27" t="s">
        <v>16</v>
      </c>
      <c r="H6" s="28" t="s">
        <v>122</v>
      </c>
      <c r="I6" s="28" t="s">
        <v>17</v>
      </c>
      <c r="J6" s="28" t="s">
        <v>123</v>
      </c>
      <c r="K6" s="29" t="s">
        <v>19</v>
      </c>
      <c r="L6" s="28" t="s">
        <v>124</v>
      </c>
    </row>
    <row r="7" spans="2:12" s="3" customFormat="1" ht="4.5" customHeight="1" thickBot="1" x14ac:dyDescent="0.3">
      <c r="B7" s="9"/>
      <c r="C7" s="10"/>
      <c r="D7" s="10"/>
      <c r="E7" s="10"/>
      <c r="F7" s="11"/>
      <c r="G7" s="11"/>
      <c r="H7" s="11"/>
      <c r="I7" s="11"/>
      <c r="J7" s="30"/>
      <c r="K7" s="12"/>
      <c r="L7" s="13"/>
    </row>
    <row r="8" spans="2:12" s="4" customFormat="1" ht="30.75" customHeight="1" x14ac:dyDescent="0.25">
      <c r="B8" s="85" t="s">
        <v>20</v>
      </c>
      <c r="C8" s="93" t="s">
        <v>21</v>
      </c>
      <c r="D8" s="94"/>
      <c r="E8" s="73" t="s">
        <v>22</v>
      </c>
      <c r="F8" s="75" t="s">
        <v>23</v>
      </c>
      <c r="G8" s="77" t="s">
        <v>24</v>
      </c>
      <c r="H8" s="83" t="s">
        <v>25</v>
      </c>
      <c r="I8" s="75" t="s">
        <v>26</v>
      </c>
      <c r="J8" s="75" t="s">
        <v>27</v>
      </c>
      <c r="K8" s="75" t="s">
        <v>28</v>
      </c>
      <c r="L8" s="75" t="s">
        <v>29</v>
      </c>
    </row>
    <row r="9" spans="2:12" s="4" customFormat="1" ht="36" customHeight="1" thickBot="1" x14ac:dyDescent="0.3">
      <c r="B9" s="86"/>
      <c r="C9" s="14" t="s">
        <v>30</v>
      </c>
      <c r="D9" s="15" t="s">
        <v>31</v>
      </c>
      <c r="E9" s="74"/>
      <c r="F9" s="76"/>
      <c r="G9" s="76"/>
      <c r="H9" s="84"/>
      <c r="I9" s="76"/>
      <c r="J9" s="76"/>
      <c r="K9" s="76"/>
      <c r="L9" s="76"/>
    </row>
    <row r="10" spans="2:12" s="16" customFormat="1" ht="33.950000000000003" customHeight="1" x14ac:dyDescent="0.25">
      <c r="B10" s="95"/>
      <c r="C10" s="22">
        <v>0.67708333333333337</v>
      </c>
      <c r="D10" s="22">
        <v>0.6875</v>
      </c>
      <c r="E10" s="23">
        <f>D10-C10</f>
        <v>1.041666666666663E-2</v>
      </c>
      <c r="F10" s="20" t="s">
        <v>33</v>
      </c>
      <c r="G10" s="24"/>
      <c r="H10" s="24"/>
      <c r="I10" s="5"/>
      <c r="J10" s="5"/>
      <c r="K10" s="5"/>
      <c r="L10" s="6"/>
    </row>
    <row r="11" spans="2:12" s="16" customFormat="1" ht="39" customHeight="1" x14ac:dyDescent="0.25">
      <c r="B11" s="68"/>
      <c r="C11" s="22">
        <v>0.6875</v>
      </c>
      <c r="D11" s="18">
        <v>0.69097222222222221</v>
      </c>
      <c r="E11" s="23">
        <f>D11-C11</f>
        <v>3.4722222222222099E-3</v>
      </c>
      <c r="F11" s="19" t="s">
        <v>125</v>
      </c>
      <c r="G11" s="25"/>
      <c r="H11" s="7"/>
      <c r="I11" s="7"/>
      <c r="J11" s="7"/>
      <c r="K11" s="25"/>
      <c r="L11" s="8"/>
    </row>
    <row r="12" spans="2:12" s="16" customFormat="1" ht="146.44999999999999" customHeight="1" x14ac:dyDescent="0.25">
      <c r="B12" s="68"/>
      <c r="C12" s="17">
        <v>0.69097222222222221</v>
      </c>
      <c r="D12" s="18">
        <v>0.69791666666666663</v>
      </c>
      <c r="E12" s="23">
        <f>D12-C12</f>
        <v>6.9444444444444198E-3</v>
      </c>
      <c r="F12" s="21" t="s">
        <v>126</v>
      </c>
      <c r="G12" s="25" t="s">
        <v>127</v>
      </c>
      <c r="H12" s="25" t="s">
        <v>128</v>
      </c>
      <c r="I12" s="25"/>
      <c r="J12" s="25" t="s">
        <v>129</v>
      </c>
      <c r="K12" s="25" t="s">
        <v>130</v>
      </c>
      <c r="L12" s="8"/>
    </row>
    <row r="13" spans="2:12" s="16" customFormat="1" ht="51" customHeight="1" x14ac:dyDescent="0.25">
      <c r="B13" s="68"/>
      <c r="C13" s="18">
        <v>0.69791666666666663</v>
      </c>
      <c r="D13" s="18">
        <v>0.72569444444444442</v>
      </c>
      <c r="E13" s="23">
        <f>D13-C13</f>
        <v>2.777777777777779E-2</v>
      </c>
      <c r="F13" s="21" t="s">
        <v>131</v>
      </c>
      <c r="G13" s="25" t="s">
        <v>132</v>
      </c>
      <c r="H13" s="25"/>
      <c r="I13" s="25"/>
      <c r="J13" s="25"/>
      <c r="K13" s="7"/>
      <c r="L13" s="8"/>
    </row>
    <row r="14" spans="2:12" s="16" customFormat="1" ht="47.45" customHeight="1" x14ac:dyDescent="0.25">
      <c r="B14" s="69"/>
      <c r="C14" s="17">
        <v>0.72569444444444442</v>
      </c>
      <c r="D14" s="18">
        <v>0.72916666666666663</v>
      </c>
      <c r="E14" s="23">
        <f>D14-C14</f>
        <v>3.4722222222222099E-3</v>
      </c>
      <c r="F14" s="21" t="s">
        <v>133</v>
      </c>
      <c r="G14" s="25"/>
      <c r="H14" s="25"/>
      <c r="I14" s="25"/>
      <c r="J14" s="25"/>
      <c r="K14" s="26" t="s">
        <v>58</v>
      </c>
      <c r="L14" s="8"/>
    </row>
    <row r="15" spans="2:12" ht="15" customHeight="1" x14ac:dyDescent="0.25">
      <c r="E15" s="33">
        <f>SUM(E11:E14)</f>
        <v>4.166666666666663E-2</v>
      </c>
    </row>
  </sheetData>
  <mergeCells count="15">
    <mergeCell ref="B3:L3"/>
    <mergeCell ref="B2:L2"/>
    <mergeCell ref="B8:B9"/>
    <mergeCell ref="B4:F5"/>
    <mergeCell ref="C8:D8"/>
    <mergeCell ref="L8:L9"/>
    <mergeCell ref="K8:K9"/>
    <mergeCell ref="J8:J9"/>
    <mergeCell ref="G8:G9"/>
    <mergeCell ref="F8:F9"/>
    <mergeCell ref="B10:B14"/>
    <mergeCell ref="B6:F6"/>
    <mergeCell ref="E8:E9"/>
    <mergeCell ref="I8:I9"/>
    <mergeCell ref="H8:H9"/>
  </mergeCells>
  <pageMargins left="0.7" right="0.4" top="0.5" bottom="0.5" header="0.3" footer="0.3"/>
  <pageSetup paperSize="9" scale="53" fitToHeight="0" orientation="landscape"/>
  <headerFooter>
    <oddFooter>&amp;C&amp;"Arial"&amp;8 &amp;K2E404D_x000D_# Sensitivity Label: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L24"/>
  <sheetViews>
    <sheetView tabSelected="1" topLeftCell="A22" workbookViewId="0">
      <selection activeCell="J19" sqref="J19"/>
    </sheetView>
  </sheetViews>
  <sheetFormatPr defaultColWidth="9.140625" defaultRowHeight="15" customHeight="1" x14ac:dyDescent="0.25"/>
  <cols>
    <col min="1" max="1" width="5.5703125" style="1" customWidth="1"/>
    <col min="2" max="2" width="11.5703125" style="1" customWidth="1"/>
    <col min="3" max="4" width="10.5703125" style="1" customWidth="1"/>
    <col min="5" max="5" width="11.85546875" style="1" customWidth="1"/>
    <col min="6" max="6" width="25.42578125" style="1" customWidth="1"/>
    <col min="7" max="7" width="23.7109375" style="1" customWidth="1"/>
    <col min="8" max="8" width="32.140625" style="1" customWidth="1"/>
    <col min="9" max="9" width="22" style="1" customWidth="1"/>
    <col min="10" max="10" width="35.5703125" style="1" customWidth="1"/>
    <col min="11" max="11" width="25.42578125" style="1" customWidth="1"/>
    <col min="12" max="12" width="33.7109375" style="2" customWidth="1"/>
    <col min="13" max="14" width="9.140625" style="1" customWidth="1"/>
    <col min="15" max="16384" width="9.140625" style="1"/>
  </cols>
  <sheetData>
    <row r="1" spans="2:12" ht="3.95" customHeight="1" thickBot="1" x14ac:dyDescent="0.3"/>
    <row r="2" spans="2:12" ht="42.95" customHeight="1" thickBot="1" x14ac:dyDescent="0.3">
      <c r="B2" s="81" t="s">
        <v>0</v>
      </c>
      <c r="C2" s="82"/>
      <c r="D2" s="82"/>
      <c r="E2" s="82"/>
      <c r="F2" s="82"/>
      <c r="G2" s="82"/>
      <c r="H2" s="82"/>
      <c r="I2" s="82"/>
      <c r="J2" s="82"/>
      <c r="K2" s="82"/>
      <c r="L2" s="82"/>
    </row>
    <row r="3" spans="2:12" ht="29.45" customHeight="1" x14ac:dyDescent="0.25">
      <c r="B3" s="79" t="s">
        <v>1</v>
      </c>
      <c r="C3" s="80"/>
      <c r="D3" s="80"/>
      <c r="E3" s="80"/>
      <c r="F3" s="80"/>
      <c r="G3" s="80"/>
      <c r="H3" s="80"/>
      <c r="I3" s="80"/>
      <c r="J3" s="80"/>
      <c r="K3" s="80"/>
      <c r="L3" s="80"/>
    </row>
    <row r="4" spans="2:12" ht="87.75" customHeight="1" x14ac:dyDescent="0.25">
      <c r="B4" s="87" t="s">
        <v>2</v>
      </c>
      <c r="C4" s="88"/>
      <c r="D4" s="88"/>
      <c r="E4" s="88"/>
      <c r="F4" s="89"/>
      <c r="G4" s="28" t="s">
        <v>3</v>
      </c>
      <c r="H4" s="28" t="s">
        <v>4</v>
      </c>
      <c r="I4" s="29" t="s">
        <v>5</v>
      </c>
      <c r="J4" s="29" t="s">
        <v>6</v>
      </c>
      <c r="K4" s="28" t="s">
        <v>7</v>
      </c>
      <c r="L4" s="28" t="s">
        <v>8</v>
      </c>
    </row>
    <row r="5" spans="2:12" ht="195.75" customHeight="1" x14ac:dyDescent="0.25">
      <c r="B5" s="90"/>
      <c r="C5" s="91"/>
      <c r="D5" s="91"/>
      <c r="E5" s="91"/>
      <c r="F5" s="92"/>
      <c r="G5" s="28" t="s">
        <v>9</v>
      </c>
      <c r="H5" s="28" t="s">
        <v>10</v>
      </c>
      <c r="I5" s="29" t="s">
        <v>11</v>
      </c>
      <c r="J5" s="32" t="s">
        <v>12</v>
      </c>
      <c r="K5" s="29" t="s">
        <v>13</v>
      </c>
      <c r="L5" s="28" t="s">
        <v>14</v>
      </c>
    </row>
    <row r="6" spans="2:12" ht="90.95" customHeight="1" x14ac:dyDescent="0.25">
      <c r="B6" s="70" t="s">
        <v>15</v>
      </c>
      <c r="C6" s="71"/>
      <c r="D6" s="71"/>
      <c r="E6" s="71"/>
      <c r="F6" s="72"/>
      <c r="G6" s="27" t="s">
        <v>16</v>
      </c>
      <c r="H6" s="28"/>
      <c r="I6" s="28" t="s">
        <v>17</v>
      </c>
      <c r="J6" s="28" t="s">
        <v>18</v>
      </c>
      <c r="K6" s="29" t="s">
        <v>19</v>
      </c>
      <c r="L6" s="28"/>
    </row>
    <row r="7" spans="2:12" s="3" customFormat="1" ht="4.5" customHeight="1" thickBot="1" x14ac:dyDescent="0.3">
      <c r="B7" s="9"/>
      <c r="C7" s="10"/>
      <c r="D7" s="10"/>
      <c r="E7" s="10"/>
      <c r="F7" s="11"/>
      <c r="G7" s="11"/>
      <c r="H7" s="11" t="e">
        <f t="array" ref="H7">- Class timing gợi ý: 8:50 - 11:35 mỗi buổi</f>
        <v>#NAME?</v>
      </c>
      <c r="I7" s="11"/>
      <c r="J7" s="30"/>
      <c r="K7" s="12"/>
      <c r="L7" s="13"/>
    </row>
    <row r="8" spans="2:12" s="4" customFormat="1" ht="30.75" customHeight="1" thickBot="1" x14ac:dyDescent="0.3">
      <c r="B8" s="85" t="s">
        <v>20</v>
      </c>
      <c r="C8" s="93" t="s">
        <v>21</v>
      </c>
      <c r="D8" s="94"/>
      <c r="E8" s="73" t="s">
        <v>22</v>
      </c>
      <c r="F8" s="75" t="s">
        <v>23</v>
      </c>
      <c r="G8" s="77" t="s">
        <v>24</v>
      </c>
      <c r="H8" s="83" t="s">
        <v>25</v>
      </c>
      <c r="I8" s="75" t="s">
        <v>26</v>
      </c>
      <c r="J8" s="75" t="s">
        <v>27</v>
      </c>
      <c r="K8" s="75" t="s">
        <v>28</v>
      </c>
      <c r="L8" s="75" t="s">
        <v>29</v>
      </c>
    </row>
    <row r="9" spans="2:12" s="4" customFormat="1" ht="36" customHeight="1" thickBot="1" x14ac:dyDescent="0.3">
      <c r="B9" s="86"/>
      <c r="C9" s="14" t="s">
        <v>30</v>
      </c>
      <c r="D9" s="15" t="s">
        <v>31</v>
      </c>
      <c r="E9" s="74"/>
      <c r="F9" s="76"/>
      <c r="G9" s="76"/>
      <c r="H9" s="84"/>
      <c r="I9" s="76"/>
      <c r="J9" s="76"/>
      <c r="K9" s="76"/>
      <c r="L9" s="76"/>
    </row>
    <row r="10" spans="2:12" s="16" customFormat="1" ht="39.950000000000003" customHeight="1" x14ac:dyDescent="0.25">
      <c r="B10" s="67" t="s">
        <v>32</v>
      </c>
      <c r="C10" s="22">
        <v>0.58333333333333337</v>
      </c>
      <c r="D10" s="22">
        <v>0.58680555555555558</v>
      </c>
      <c r="E10" s="23">
        <f t="shared" ref="E10:E23" si="0">D10-C10</f>
        <v>3.4722222222222099E-3</v>
      </c>
      <c r="F10" s="20" t="s">
        <v>33</v>
      </c>
      <c r="G10" s="24" t="s">
        <v>34</v>
      </c>
      <c r="H10" s="24"/>
      <c r="I10" s="5"/>
      <c r="J10" s="5"/>
      <c r="K10" s="5" t="s">
        <v>35</v>
      </c>
      <c r="L10" s="6"/>
    </row>
    <row r="11" spans="2:12" s="16" customFormat="1" ht="105" customHeight="1" x14ac:dyDescent="0.25">
      <c r="B11" s="68"/>
      <c r="C11" s="22">
        <v>0.58680555555555558</v>
      </c>
      <c r="D11" s="18">
        <v>0.59027777777777779</v>
      </c>
      <c r="E11" s="23">
        <f t="shared" si="0"/>
        <v>3.4722222222222099E-3</v>
      </c>
      <c r="F11" s="19" t="s">
        <v>36</v>
      </c>
      <c r="G11" s="25" t="s">
        <v>37</v>
      </c>
      <c r="H11" s="7" t="s">
        <v>38</v>
      </c>
      <c r="I11" s="7" t="s">
        <v>39</v>
      </c>
      <c r="J11" s="7" t="s">
        <v>40</v>
      </c>
      <c r="K11" s="25" t="s">
        <v>41</v>
      </c>
      <c r="L11" s="8"/>
    </row>
    <row r="12" spans="2:12" s="16" customFormat="1" ht="360" customHeight="1" x14ac:dyDescent="0.25">
      <c r="B12" s="68"/>
      <c r="C12" s="17">
        <v>0.59027777777777779</v>
      </c>
      <c r="D12" s="18">
        <v>0.60763888888888884</v>
      </c>
      <c r="E12" s="23">
        <f t="shared" si="0"/>
        <v>1.7361111111111049E-2</v>
      </c>
      <c r="F12" s="21" t="s">
        <v>42</v>
      </c>
      <c r="G12" s="25" t="s">
        <v>43</v>
      </c>
      <c r="H12" s="25" t="s">
        <v>44</v>
      </c>
      <c r="I12" s="25" t="s">
        <v>45</v>
      </c>
      <c r="J12" s="25" t="s">
        <v>46</v>
      </c>
      <c r="K12" s="25" t="s">
        <v>47</v>
      </c>
      <c r="L12" s="26" t="s">
        <v>48</v>
      </c>
    </row>
    <row r="13" spans="2:12" s="16" customFormat="1" ht="399" customHeight="1" x14ac:dyDescent="0.25">
      <c r="B13" s="68"/>
      <c r="C13" s="18">
        <v>0.60763888888888884</v>
      </c>
      <c r="D13" s="18">
        <v>0.62847222222222221</v>
      </c>
      <c r="E13" s="23">
        <f t="shared" si="0"/>
        <v>2.083333333333337E-2</v>
      </c>
      <c r="F13" s="21" t="s">
        <v>49</v>
      </c>
      <c r="G13" s="25" t="s">
        <v>50</v>
      </c>
      <c r="H13" s="25" t="s">
        <v>51</v>
      </c>
      <c r="I13" s="25" t="s">
        <v>52</v>
      </c>
      <c r="J13" s="25" t="s">
        <v>53</v>
      </c>
      <c r="K13" s="7" t="s">
        <v>54</v>
      </c>
      <c r="L13" s="26" t="s">
        <v>55</v>
      </c>
    </row>
    <row r="14" spans="2:12" s="16" customFormat="1" ht="30" customHeight="1" x14ac:dyDescent="0.25">
      <c r="B14" s="68"/>
      <c r="C14" s="17">
        <v>0.62847222222222221</v>
      </c>
      <c r="D14" s="18">
        <v>0.63541666666666663</v>
      </c>
      <c r="E14" s="23">
        <f t="shared" si="0"/>
        <v>6.9444444444444198E-3</v>
      </c>
      <c r="F14" s="21" t="s">
        <v>56</v>
      </c>
      <c r="G14" s="25" t="s">
        <v>57</v>
      </c>
      <c r="H14" s="25"/>
      <c r="I14" s="25"/>
      <c r="J14" s="25"/>
      <c r="K14" s="26" t="s">
        <v>58</v>
      </c>
      <c r="L14" s="8"/>
    </row>
    <row r="15" spans="2:12" ht="339.95" customHeight="1" x14ac:dyDescent="0.25">
      <c r="B15" s="68"/>
      <c r="C15" s="17">
        <v>0.63541666666666663</v>
      </c>
      <c r="D15" s="18">
        <v>0.64930555555555558</v>
      </c>
      <c r="E15" s="23">
        <f t="shared" si="0"/>
        <v>1.3888888888888951E-2</v>
      </c>
      <c r="F15" s="21" t="s">
        <v>59</v>
      </c>
      <c r="G15" s="25" t="s">
        <v>60</v>
      </c>
      <c r="H15" s="25" t="s">
        <v>61</v>
      </c>
      <c r="I15" s="25" t="s">
        <v>62</v>
      </c>
      <c r="J15" s="25" t="s">
        <v>63</v>
      </c>
      <c r="K15" s="25" t="s">
        <v>64</v>
      </c>
      <c r="L15" s="26" t="s">
        <v>65</v>
      </c>
    </row>
    <row r="16" spans="2:12" ht="110.1" customHeight="1" x14ac:dyDescent="0.25">
      <c r="B16" s="69"/>
      <c r="C16" s="17">
        <v>0.64930555555555558</v>
      </c>
      <c r="D16" s="18">
        <v>0.65625</v>
      </c>
      <c r="E16" s="23">
        <f t="shared" si="0"/>
        <v>6.9444444444444198E-3</v>
      </c>
      <c r="F16" s="21" t="s">
        <v>66</v>
      </c>
      <c r="G16" s="25" t="s">
        <v>67</v>
      </c>
      <c r="H16" s="25" t="s">
        <v>68</v>
      </c>
      <c r="I16" s="25" t="s">
        <v>69</v>
      </c>
      <c r="J16" s="25" t="s">
        <v>70</v>
      </c>
      <c r="K16" s="25" t="s">
        <v>71</v>
      </c>
      <c r="L16" s="26" t="s">
        <v>72</v>
      </c>
    </row>
    <row r="17" spans="2:12" ht="39.950000000000003" customHeight="1" x14ac:dyDescent="0.25">
      <c r="B17" s="78" t="s">
        <v>73</v>
      </c>
      <c r="C17" s="17">
        <v>0.58333333333333337</v>
      </c>
      <c r="D17" s="18">
        <v>0.58680555555555558</v>
      </c>
      <c r="E17" s="23">
        <f t="shared" si="0"/>
        <v>3.4722222222222099E-3</v>
      </c>
      <c r="F17" s="21" t="s">
        <v>74</v>
      </c>
      <c r="G17" s="25" t="s">
        <v>75</v>
      </c>
      <c r="H17" s="25"/>
      <c r="I17" s="25"/>
      <c r="J17" s="25"/>
      <c r="K17" s="25" t="s">
        <v>76</v>
      </c>
      <c r="L17" s="8"/>
    </row>
    <row r="18" spans="2:12" ht="261.75" customHeight="1" x14ac:dyDescent="0.25">
      <c r="B18" s="68"/>
      <c r="C18" s="17">
        <v>0.58680555555555558</v>
      </c>
      <c r="D18" s="18">
        <v>0.60763888888888884</v>
      </c>
      <c r="E18" s="23">
        <f t="shared" si="0"/>
        <v>2.0833333333333259E-2</v>
      </c>
      <c r="F18" s="21" t="s">
        <v>77</v>
      </c>
      <c r="G18" s="25" t="s">
        <v>78</v>
      </c>
      <c r="H18" s="25" t="s">
        <v>79</v>
      </c>
      <c r="I18" s="25" t="s">
        <v>80</v>
      </c>
      <c r="J18" s="25" t="s">
        <v>81</v>
      </c>
      <c r="K18" s="25" t="s">
        <v>82</v>
      </c>
      <c r="L18" s="26" t="s">
        <v>83</v>
      </c>
    </row>
    <row r="19" spans="2:12" ht="230.1" customHeight="1" x14ac:dyDescent="0.25">
      <c r="B19" s="68"/>
      <c r="C19" s="17">
        <v>0.60763888888888884</v>
      </c>
      <c r="D19" s="18">
        <v>0.625</v>
      </c>
      <c r="E19" s="23">
        <f t="shared" si="0"/>
        <v>1.736111111111116E-2</v>
      </c>
      <c r="F19" s="21" t="s">
        <v>84</v>
      </c>
      <c r="G19" s="25" t="s">
        <v>85</v>
      </c>
      <c r="H19" s="25" t="s">
        <v>86</v>
      </c>
      <c r="I19" s="25" t="s">
        <v>87</v>
      </c>
      <c r="J19" s="25" t="s">
        <v>88</v>
      </c>
      <c r="K19" s="25" t="s">
        <v>89</v>
      </c>
      <c r="L19" s="26" t="s">
        <v>90</v>
      </c>
    </row>
    <row r="20" spans="2:12" ht="30" customHeight="1" x14ac:dyDescent="0.25">
      <c r="B20" s="68"/>
      <c r="C20" s="17">
        <v>0.625</v>
      </c>
      <c r="D20" s="18">
        <v>0.63194444444444442</v>
      </c>
      <c r="E20" s="23">
        <f t="shared" si="0"/>
        <v>6.9444444444444198E-3</v>
      </c>
      <c r="F20" s="21" t="s">
        <v>56</v>
      </c>
      <c r="G20" s="25" t="s">
        <v>57</v>
      </c>
      <c r="H20" s="25"/>
      <c r="I20" s="25"/>
      <c r="J20" s="25"/>
      <c r="K20" s="25"/>
      <c r="L20" s="8"/>
    </row>
    <row r="21" spans="2:12" ht="230.1" customHeight="1" x14ac:dyDescent="0.25">
      <c r="B21" s="68"/>
      <c r="C21" s="17">
        <v>0.63194444444444442</v>
      </c>
      <c r="D21" s="18">
        <v>0.64930555555555558</v>
      </c>
      <c r="E21" s="23">
        <f t="shared" si="0"/>
        <v>1.736111111111116E-2</v>
      </c>
      <c r="F21" s="21" t="s">
        <v>91</v>
      </c>
      <c r="G21" s="25" t="s">
        <v>92</v>
      </c>
      <c r="H21" s="25" t="s">
        <v>93</v>
      </c>
      <c r="I21" s="25" t="s">
        <v>94</v>
      </c>
      <c r="J21" s="25" t="s">
        <v>95</v>
      </c>
      <c r="K21" s="25" t="s">
        <v>96</v>
      </c>
      <c r="L21" s="26" t="s">
        <v>97</v>
      </c>
    </row>
    <row r="22" spans="2:12" ht="339.95" customHeight="1" x14ac:dyDescent="0.25">
      <c r="B22" s="68"/>
      <c r="C22" s="17">
        <v>0.64930555555555558</v>
      </c>
      <c r="D22" s="18">
        <v>0.67361111111111116</v>
      </c>
      <c r="E22" s="23">
        <f t="shared" si="0"/>
        <v>2.430555555555558E-2</v>
      </c>
      <c r="F22" s="21" t="s">
        <v>98</v>
      </c>
      <c r="G22" s="25" t="s">
        <v>99</v>
      </c>
      <c r="H22" s="25" t="s">
        <v>100</v>
      </c>
      <c r="I22" s="25" t="s">
        <v>101</v>
      </c>
      <c r="J22" s="25" t="s">
        <v>102</v>
      </c>
      <c r="K22" s="25" t="s">
        <v>103</v>
      </c>
      <c r="L22" s="26" t="s">
        <v>104</v>
      </c>
    </row>
    <row r="23" spans="2:12" ht="129.94999999999999" customHeight="1" x14ac:dyDescent="0.25">
      <c r="B23" s="68"/>
      <c r="C23" s="17">
        <v>0.67361111111111116</v>
      </c>
      <c r="D23" s="18">
        <v>0.68055555555555558</v>
      </c>
      <c r="E23" s="23">
        <f t="shared" si="0"/>
        <v>6.9444444444444198E-3</v>
      </c>
      <c r="F23" s="21" t="s">
        <v>105</v>
      </c>
      <c r="G23" s="25" t="s">
        <v>106</v>
      </c>
      <c r="H23" s="25" t="s">
        <v>107</v>
      </c>
      <c r="I23" s="25" t="s">
        <v>108</v>
      </c>
      <c r="J23" s="25" t="s">
        <v>109</v>
      </c>
      <c r="K23" s="25" t="s">
        <v>110</v>
      </c>
      <c r="L23" s="26" t="s">
        <v>111</v>
      </c>
    </row>
    <row r="24" spans="2:12" ht="21.95" customHeight="1" x14ac:dyDescent="0.25">
      <c r="D24" s="34" t="s">
        <v>112</v>
      </c>
      <c r="E24" s="33">
        <f>E11+E12+E13+E15+E16+E18+E19+E21+E22+E23</f>
        <v>0.14930555555555558</v>
      </c>
    </row>
  </sheetData>
  <mergeCells count="16">
    <mergeCell ref="B3:L3"/>
    <mergeCell ref="B2:L2"/>
    <mergeCell ref="H8:H9"/>
    <mergeCell ref="B8:B9"/>
    <mergeCell ref="B4:F5"/>
    <mergeCell ref="C8:D8"/>
    <mergeCell ref="L8:L9"/>
    <mergeCell ref="K8:K9"/>
    <mergeCell ref="J8:J9"/>
    <mergeCell ref="F8:F9"/>
    <mergeCell ref="B17:B23"/>
    <mergeCell ref="B10:B16"/>
    <mergeCell ref="B6:F6"/>
    <mergeCell ref="E8:E9"/>
    <mergeCell ref="I8:I9"/>
    <mergeCell ref="G8:G9"/>
  </mergeCells>
  <pageMargins left="0.7" right="0.4" top="0.5" bottom="0.5" header="0.3" footer="0.3"/>
  <pageSetup paperSize="9" scale="53"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4"/>
  <sheetViews>
    <sheetView workbookViewId="0">
      <pane ySplit="4" topLeftCell="A33" activePane="bottomLeft" state="frozen"/>
      <selection pane="bottomLeft" activeCell="H24" sqref="H24"/>
    </sheetView>
  </sheetViews>
  <sheetFormatPr defaultRowHeight="15" x14ac:dyDescent="0.25"/>
  <cols>
    <col min="1" max="1" width="5" customWidth="1"/>
    <col min="2" max="2" width="24" customWidth="1"/>
    <col min="3" max="3" width="20" customWidth="1"/>
    <col min="4" max="4" width="36" customWidth="1"/>
    <col min="5" max="5" width="42" customWidth="1"/>
    <col min="6" max="7" width="30" customWidth="1"/>
    <col min="8" max="8" width="36" customWidth="1"/>
    <col min="9" max="9" width="30" customWidth="1"/>
    <col min="10" max="10" width="9" customWidth="1"/>
    <col min="11" max="11" width="48" customWidth="1"/>
  </cols>
  <sheetData>
    <row r="1" spans="1:11" ht="32.1" customHeight="1" x14ac:dyDescent="0.25">
      <c r="A1" s="100" t="s">
        <v>134</v>
      </c>
      <c r="B1" s="97"/>
      <c r="C1" s="97"/>
      <c r="D1" s="97"/>
      <c r="E1" s="97"/>
      <c r="F1" s="97"/>
      <c r="G1" s="97"/>
      <c r="H1" s="97"/>
      <c r="I1" s="97"/>
      <c r="J1" s="97"/>
      <c r="K1" s="97"/>
    </row>
    <row r="2" spans="1:11" ht="18" customHeight="1" x14ac:dyDescent="0.25">
      <c r="A2" s="99" t="s">
        <v>135</v>
      </c>
      <c r="B2" s="97"/>
      <c r="C2" s="97"/>
      <c r="D2" s="97"/>
      <c r="E2" s="97"/>
      <c r="F2" s="97"/>
      <c r="G2" s="97"/>
      <c r="H2" s="97"/>
      <c r="I2" s="97"/>
      <c r="J2" s="97"/>
      <c r="K2" s="97"/>
    </row>
    <row r="3" spans="1:11" ht="21.95" customHeight="1" x14ac:dyDescent="0.25">
      <c r="A3" s="96" t="s">
        <v>136</v>
      </c>
      <c r="B3" s="97"/>
      <c r="C3" s="97"/>
      <c r="D3" s="97"/>
      <c r="E3" s="97"/>
      <c r="F3" s="97"/>
      <c r="G3" s="97"/>
      <c r="H3" s="97"/>
      <c r="I3" s="97"/>
      <c r="J3" s="97"/>
      <c r="K3" s="97"/>
    </row>
    <row r="4" spans="1:11" ht="20.100000000000001" customHeight="1" x14ac:dyDescent="0.25">
      <c r="A4" s="35" t="s">
        <v>137</v>
      </c>
      <c r="B4" s="35" t="s">
        <v>138</v>
      </c>
      <c r="C4" s="35" t="s">
        <v>139</v>
      </c>
      <c r="D4" s="35" t="s">
        <v>140</v>
      </c>
      <c r="E4" s="35" t="s">
        <v>141</v>
      </c>
      <c r="F4" s="35" t="s">
        <v>142</v>
      </c>
      <c r="G4" s="35" t="s">
        <v>143</v>
      </c>
      <c r="H4" s="35" t="s">
        <v>144</v>
      </c>
      <c r="I4" s="35" t="s">
        <v>145</v>
      </c>
      <c r="J4" s="35" t="s">
        <v>146</v>
      </c>
      <c r="K4" s="35" t="s">
        <v>147</v>
      </c>
    </row>
    <row r="5" spans="1:11" ht="68.099999999999994" customHeight="1" x14ac:dyDescent="0.25">
      <c r="A5" s="36">
        <v>1</v>
      </c>
      <c r="B5" s="37" t="s">
        <v>148</v>
      </c>
      <c r="C5" s="38" t="s">
        <v>149</v>
      </c>
      <c r="D5" s="39" t="s">
        <v>150</v>
      </c>
      <c r="E5" s="40" t="s">
        <v>151</v>
      </c>
      <c r="F5" s="41" t="s">
        <v>152</v>
      </c>
      <c r="G5" s="41" t="s">
        <v>153</v>
      </c>
      <c r="H5" s="42" t="s">
        <v>154</v>
      </c>
      <c r="I5" s="41" t="s">
        <v>155</v>
      </c>
      <c r="J5" s="43" t="s">
        <v>144</v>
      </c>
      <c r="K5" s="44" t="s">
        <v>279</v>
      </c>
    </row>
    <row r="6" spans="1:11" ht="68.099999999999994" customHeight="1" x14ac:dyDescent="0.25">
      <c r="A6" s="36">
        <v>2</v>
      </c>
      <c r="B6" s="37" t="s">
        <v>148</v>
      </c>
      <c r="C6" s="38" t="s">
        <v>156</v>
      </c>
      <c r="D6" s="39" t="s">
        <v>157</v>
      </c>
      <c r="E6" s="40" t="s">
        <v>151</v>
      </c>
      <c r="F6" s="41" t="s">
        <v>158</v>
      </c>
      <c r="G6" s="42" t="s">
        <v>159</v>
      </c>
      <c r="H6" s="41" t="s">
        <v>160</v>
      </c>
      <c r="I6" s="41" t="s">
        <v>161</v>
      </c>
      <c r="J6" s="43" t="s">
        <v>143</v>
      </c>
      <c r="K6" s="44" t="s">
        <v>162</v>
      </c>
    </row>
    <row r="7" spans="1:11" ht="110.1" customHeight="1" x14ac:dyDescent="0.25">
      <c r="A7" s="36">
        <v>3</v>
      </c>
      <c r="B7" s="37" t="s">
        <v>148</v>
      </c>
      <c r="C7" s="38" t="s">
        <v>163</v>
      </c>
      <c r="D7" s="39" t="s">
        <v>164</v>
      </c>
      <c r="E7" s="45"/>
      <c r="F7" s="41" t="s">
        <v>165</v>
      </c>
      <c r="G7" s="41" t="s">
        <v>166</v>
      </c>
      <c r="H7" s="42" t="s">
        <v>167</v>
      </c>
      <c r="I7" s="41" t="s">
        <v>168</v>
      </c>
      <c r="J7" s="43" t="s">
        <v>144</v>
      </c>
      <c r="K7" s="44" t="s">
        <v>169</v>
      </c>
    </row>
    <row r="8" spans="1:11" ht="68.099999999999994" customHeight="1" x14ac:dyDescent="0.25">
      <c r="A8" s="36">
        <v>4</v>
      </c>
      <c r="B8" s="46" t="s">
        <v>170</v>
      </c>
      <c r="C8" s="47" t="s">
        <v>171</v>
      </c>
      <c r="D8" s="39" t="s">
        <v>172</v>
      </c>
      <c r="E8" s="40" t="s">
        <v>151</v>
      </c>
      <c r="F8" s="41" t="s">
        <v>173</v>
      </c>
      <c r="G8" s="41" t="s">
        <v>174</v>
      </c>
      <c r="H8" s="42" t="s">
        <v>175</v>
      </c>
      <c r="I8" s="41" t="s">
        <v>176</v>
      </c>
      <c r="J8" s="43" t="s">
        <v>144</v>
      </c>
      <c r="K8" s="44" t="s">
        <v>177</v>
      </c>
    </row>
    <row r="9" spans="1:11" ht="68.099999999999994" customHeight="1" x14ac:dyDescent="0.25">
      <c r="A9" s="36">
        <v>5</v>
      </c>
      <c r="B9" s="46" t="s">
        <v>170</v>
      </c>
      <c r="C9" s="47" t="s">
        <v>178</v>
      </c>
      <c r="D9" s="39" t="s">
        <v>179</v>
      </c>
      <c r="E9" s="40" t="s">
        <v>151</v>
      </c>
      <c r="F9" s="41" t="s">
        <v>180</v>
      </c>
      <c r="G9" s="41" t="s">
        <v>181</v>
      </c>
      <c r="H9" s="42" t="s">
        <v>182</v>
      </c>
      <c r="I9" s="41" t="s">
        <v>183</v>
      </c>
      <c r="J9" s="43" t="s">
        <v>144</v>
      </c>
      <c r="K9" s="44" t="s">
        <v>184</v>
      </c>
    </row>
    <row r="10" spans="1:11" ht="68.099999999999994" customHeight="1" x14ac:dyDescent="0.25">
      <c r="A10" s="36">
        <v>6</v>
      </c>
      <c r="B10" s="46" t="s">
        <v>170</v>
      </c>
      <c r="C10" s="47" t="s">
        <v>185</v>
      </c>
      <c r="D10" s="39" t="s">
        <v>186</v>
      </c>
      <c r="E10" s="40" t="s">
        <v>151</v>
      </c>
      <c r="F10" s="41" t="s">
        <v>187</v>
      </c>
      <c r="G10" s="41" t="s">
        <v>188</v>
      </c>
      <c r="H10" s="42" t="s">
        <v>189</v>
      </c>
      <c r="I10" s="41" t="s">
        <v>190</v>
      </c>
      <c r="J10" s="43" t="s">
        <v>144</v>
      </c>
      <c r="K10" s="44" t="s">
        <v>191</v>
      </c>
    </row>
    <row r="11" spans="1:11" ht="68.099999999999994" customHeight="1" x14ac:dyDescent="0.25">
      <c r="A11" s="36">
        <v>7</v>
      </c>
      <c r="B11" s="46" t="s">
        <v>170</v>
      </c>
      <c r="C11" s="47" t="s">
        <v>192</v>
      </c>
      <c r="D11" s="39" t="s">
        <v>193</v>
      </c>
      <c r="E11" s="40" t="s">
        <v>151</v>
      </c>
      <c r="F11" s="41" t="s">
        <v>194</v>
      </c>
      <c r="G11" s="41" t="s">
        <v>195</v>
      </c>
      <c r="H11" s="42" t="s">
        <v>196</v>
      </c>
      <c r="I11" s="41" t="s">
        <v>197</v>
      </c>
      <c r="J11" s="43" t="s">
        <v>144</v>
      </c>
      <c r="K11" s="44" t="s">
        <v>198</v>
      </c>
    </row>
    <row r="12" spans="1:11" ht="110.1" customHeight="1" x14ac:dyDescent="0.25">
      <c r="A12" s="36">
        <v>8</v>
      </c>
      <c r="B12" s="46" t="s">
        <v>170</v>
      </c>
      <c r="C12" s="47" t="s">
        <v>199</v>
      </c>
      <c r="D12" s="39" t="s">
        <v>200</v>
      </c>
      <c r="E12" s="45" t="s">
        <v>201</v>
      </c>
      <c r="F12" s="41" t="s">
        <v>202</v>
      </c>
      <c r="G12" s="41" t="s">
        <v>203</v>
      </c>
      <c r="H12" s="41" t="s">
        <v>204</v>
      </c>
      <c r="I12" s="42" t="s">
        <v>205</v>
      </c>
      <c r="J12" s="43" t="s">
        <v>145</v>
      </c>
      <c r="K12" s="44" t="s">
        <v>206</v>
      </c>
    </row>
    <row r="13" spans="1:11" ht="68.099999999999994" customHeight="1" x14ac:dyDescent="0.25">
      <c r="A13" s="36">
        <v>9</v>
      </c>
      <c r="B13" s="46" t="s">
        <v>170</v>
      </c>
      <c r="C13" s="47" t="s">
        <v>207</v>
      </c>
      <c r="D13" s="39" t="s">
        <v>208</v>
      </c>
      <c r="E13" s="40" t="s">
        <v>151</v>
      </c>
      <c r="F13" s="41" t="s">
        <v>209</v>
      </c>
      <c r="G13" s="41" t="s">
        <v>210</v>
      </c>
      <c r="H13" s="42" t="s">
        <v>211</v>
      </c>
      <c r="I13" s="41" t="s">
        <v>212</v>
      </c>
      <c r="J13" s="43" t="s">
        <v>144</v>
      </c>
      <c r="K13" s="44" t="s">
        <v>213</v>
      </c>
    </row>
    <row r="14" spans="1:11" ht="68.099999999999994" customHeight="1" x14ac:dyDescent="0.25">
      <c r="A14" s="36">
        <v>10</v>
      </c>
      <c r="B14" s="48" t="s">
        <v>214</v>
      </c>
      <c r="C14" s="49" t="s">
        <v>215</v>
      </c>
      <c r="D14" s="39" t="s">
        <v>216</v>
      </c>
      <c r="E14" s="40" t="s">
        <v>151</v>
      </c>
      <c r="F14" s="41" t="s">
        <v>217</v>
      </c>
      <c r="G14" s="41" t="s">
        <v>218</v>
      </c>
      <c r="H14" s="41" t="s">
        <v>219</v>
      </c>
      <c r="I14" s="42" t="s">
        <v>220</v>
      </c>
      <c r="J14" s="43" t="s">
        <v>145</v>
      </c>
      <c r="K14" s="44" t="s">
        <v>221</v>
      </c>
    </row>
    <row r="15" spans="1:11" ht="68.099999999999994" customHeight="1" x14ac:dyDescent="0.25">
      <c r="A15" s="36">
        <v>11</v>
      </c>
      <c r="B15" s="48" t="s">
        <v>214</v>
      </c>
      <c r="C15" s="49" t="s">
        <v>222</v>
      </c>
      <c r="D15" s="39" t="s">
        <v>223</v>
      </c>
      <c r="E15" s="40" t="s">
        <v>151</v>
      </c>
      <c r="F15" s="41" t="s">
        <v>224</v>
      </c>
      <c r="G15" s="41" t="s">
        <v>225</v>
      </c>
      <c r="H15" s="41" t="s">
        <v>226</v>
      </c>
      <c r="I15" s="42" t="s">
        <v>227</v>
      </c>
      <c r="J15" s="43" t="s">
        <v>145</v>
      </c>
      <c r="K15" s="44" t="s">
        <v>228</v>
      </c>
    </row>
    <row r="16" spans="1:11" ht="68.099999999999994" customHeight="1" x14ac:dyDescent="0.25">
      <c r="A16" s="36">
        <v>12</v>
      </c>
      <c r="B16" s="48" t="s">
        <v>214</v>
      </c>
      <c r="C16" s="49" t="s">
        <v>229</v>
      </c>
      <c r="D16" s="39" t="s">
        <v>230</v>
      </c>
      <c r="E16" s="40" t="s">
        <v>151</v>
      </c>
      <c r="F16" s="41" t="s">
        <v>231</v>
      </c>
      <c r="G16" s="41" t="s">
        <v>232</v>
      </c>
      <c r="H16" s="42" t="s">
        <v>233</v>
      </c>
      <c r="I16" s="41" t="s">
        <v>234</v>
      </c>
      <c r="J16" s="43" t="s">
        <v>144</v>
      </c>
      <c r="K16" s="44" t="s">
        <v>235</v>
      </c>
    </row>
    <row r="17" spans="1:11" ht="110.1" customHeight="1" x14ac:dyDescent="0.25">
      <c r="A17" s="36">
        <v>13</v>
      </c>
      <c r="B17" s="48" t="s">
        <v>214</v>
      </c>
      <c r="C17" s="49" t="s">
        <v>236</v>
      </c>
      <c r="D17" s="39" t="s">
        <v>237</v>
      </c>
      <c r="E17" s="45" t="s">
        <v>238</v>
      </c>
      <c r="F17" s="41" t="s">
        <v>239</v>
      </c>
      <c r="G17" s="41" t="s">
        <v>240</v>
      </c>
      <c r="H17" s="42" t="s">
        <v>241</v>
      </c>
      <c r="I17" s="41" t="s">
        <v>242</v>
      </c>
      <c r="J17" s="43" t="s">
        <v>144</v>
      </c>
      <c r="K17" s="44" t="s">
        <v>243</v>
      </c>
    </row>
    <row r="18" spans="1:11" ht="110.1" customHeight="1" x14ac:dyDescent="0.25">
      <c r="A18" s="36">
        <v>14</v>
      </c>
      <c r="B18" s="50" t="s">
        <v>244</v>
      </c>
      <c r="C18" s="51" t="s">
        <v>245</v>
      </c>
      <c r="D18" s="39" t="s">
        <v>246</v>
      </c>
      <c r="E18" s="45" t="s">
        <v>247</v>
      </c>
      <c r="F18" s="41" t="s">
        <v>248</v>
      </c>
      <c r="G18" s="41" t="s">
        <v>249</v>
      </c>
      <c r="H18" s="42" t="s">
        <v>250</v>
      </c>
      <c r="I18" s="41" t="s">
        <v>251</v>
      </c>
      <c r="J18" s="43" t="s">
        <v>144</v>
      </c>
      <c r="K18" s="44" t="s">
        <v>252</v>
      </c>
    </row>
    <row r="19" spans="1:11" ht="110.1" customHeight="1" x14ac:dyDescent="0.25">
      <c r="A19" s="36">
        <v>15</v>
      </c>
      <c r="B19" s="50" t="s">
        <v>244</v>
      </c>
      <c r="C19" s="51" t="s">
        <v>253</v>
      </c>
      <c r="D19" s="39" t="s">
        <v>254</v>
      </c>
      <c r="E19" s="45" t="s">
        <v>255</v>
      </c>
      <c r="F19" s="41" t="s">
        <v>256</v>
      </c>
      <c r="G19" s="41" t="s">
        <v>257</v>
      </c>
      <c r="H19" s="41" t="s">
        <v>258</v>
      </c>
      <c r="I19" s="42" t="s">
        <v>259</v>
      </c>
      <c r="J19" s="43" t="s">
        <v>145</v>
      </c>
      <c r="K19" s="44" t="s">
        <v>260</v>
      </c>
    </row>
    <row r="20" spans="1:11" ht="12" customHeight="1" x14ac:dyDescent="0.25"/>
    <row r="21" spans="1:11" ht="20.100000000000001" customHeight="1" x14ac:dyDescent="0.25">
      <c r="A21" s="98" t="s">
        <v>261</v>
      </c>
      <c r="B21" s="97"/>
      <c r="C21" s="97"/>
      <c r="D21" s="97"/>
      <c r="E21" s="97"/>
      <c r="F21" s="97"/>
      <c r="G21" s="97"/>
      <c r="H21" s="97"/>
      <c r="I21" s="97"/>
      <c r="J21" s="97"/>
      <c r="K21" s="97"/>
    </row>
    <row r="22" spans="1:11" ht="18" customHeight="1" x14ac:dyDescent="0.25">
      <c r="A22" s="52" t="s">
        <v>262</v>
      </c>
      <c r="B22" s="52" t="s">
        <v>146</v>
      </c>
      <c r="C22" s="52" t="s">
        <v>139</v>
      </c>
    </row>
    <row r="23" spans="1:11" ht="30.75" customHeight="1" x14ac:dyDescent="0.25">
      <c r="A23" s="53">
        <v>1</v>
      </c>
      <c r="B23" s="54" t="s">
        <v>144</v>
      </c>
      <c r="C23" s="55" t="s">
        <v>149</v>
      </c>
    </row>
    <row r="24" spans="1:11" ht="40.5" customHeight="1" x14ac:dyDescent="0.25">
      <c r="A24" s="53">
        <v>2</v>
      </c>
      <c r="B24" s="54" t="s">
        <v>143</v>
      </c>
      <c r="C24" s="55" t="s">
        <v>156</v>
      </c>
    </row>
    <row r="25" spans="1:11" ht="56.25" customHeight="1" x14ac:dyDescent="0.25">
      <c r="A25" s="53">
        <v>3</v>
      </c>
      <c r="B25" s="54" t="s">
        <v>144</v>
      </c>
      <c r="C25" s="55" t="s">
        <v>163</v>
      </c>
    </row>
    <row r="26" spans="1:11" ht="39" customHeight="1" x14ac:dyDescent="0.25">
      <c r="A26" s="53">
        <v>4</v>
      </c>
      <c r="B26" s="54" t="s">
        <v>144</v>
      </c>
      <c r="C26" s="56" t="s">
        <v>171</v>
      </c>
    </row>
    <row r="27" spans="1:11" ht="42.75" customHeight="1" x14ac:dyDescent="0.25">
      <c r="A27" s="53">
        <v>5</v>
      </c>
      <c r="B27" s="54" t="s">
        <v>144</v>
      </c>
      <c r="C27" s="56" t="s">
        <v>178</v>
      </c>
    </row>
    <row r="28" spans="1:11" ht="41.25" customHeight="1" x14ac:dyDescent="0.25">
      <c r="A28" s="53">
        <v>6</v>
      </c>
      <c r="B28" s="54" t="s">
        <v>144</v>
      </c>
      <c r="C28" s="56" t="s">
        <v>185</v>
      </c>
    </row>
    <row r="29" spans="1:11" ht="44.25" customHeight="1" x14ac:dyDescent="0.25">
      <c r="A29" s="53">
        <v>7</v>
      </c>
      <c r="B29" s="54" t="s">
        <v>144</v>
      </c>
      <c r="C29" s="56" t="s">
        <v>192</v>
      </c>
    </row>
    <row r="30" spans="1:11" ht="42" customHeight="1" x14ac:dyDescent="0.25">
      <c r="A30" s="53">
        <v>8</v>
      </c>
      <c r="B30" s="54" t="s">
        <v>145</v>
      </c>
      <c r="C30" s="56" t="s">
        <v>199</v>
      </c>
    </row>
    <row r="31" spans="1:11" ht="53.25" customHeight="1" x14ac:dyDescent="0.25">
      <c r="A31" s="53">
        <v>9</v>
      </c>
      <c r="B31" s="54" t="s">
        <v>144</v>
      </c>
      <c r="C31" s="56" t="s">
        <v>207</v>
      </c>
    </row>
    <row r="32" spans="1:11" ht="36" customHeight="1" x14ac:dyDescent="0.25">
      <c r="A32" s="53">
        <v>10</v>
      </c>
      <c r="B32" s="54" t="s">
        <v>145</v>
      </c>
      <c r="C32" s="57" t="s">
        <v>215</v>
      </c>
    </row>
    <row r="33" spans="1:11" ht="48.75" customHeight="1" x14ac:dyDescent="0.25">
      <c r="A33" s="53">
        <v>11</v>
      </c>
      <c r="B33" s="54" t="s">
        <v>145</v>
      </c>
      <c r="C33" s="57" t="s">
        <v>222</v>
      </c>
    </row>
    <row r="34" spans="1:11" ht="45" customHeight="1" x14ac:dyDescent="0.25">
      <c r="A34" s="53">
        <v>12</v>
      </c>
      <c r="B34" s="54" t="s">
        <v>144</v>
      </c>
      <c r="C34" s="57" t="s">
        <v>229</v>
      </c>
    </row>
    <row r="35" spans="1:11" ht="43.5" customHeight="1" x14ac:dyDescent="0.25">
      <c r="A35" s="53">
        <v>13</v>
      </c>
      <c r="B35" s="54" t="s">
        <v>144</v>
      </c>
      <c r="C35" s="57" t="s">
        <v>236</v>
      </c>
    </row>
    <row r="36" spans="1:11" ht="55.5" customHeight="1" x14ac:dyDescent="0.25">
      <c r="A36" s="53">
        <v>14</v>
      </c>
      <c r="B36" s="54" t="s">
        <v>144</v>
      </c>
      <c r="C36" s="58" t="s">
        <v>245</v>
      </c>
    </row>
    <row r="37" spans="1:11" ht="43.5" customHeight="1" x14ac:dyDescent="0.25">
      <c r="A37" s="53">
        <v>15</v>
      </c>
      <c r="B37" s="54" t="s">
        <v>145</v>
      </c>
      <c r="C37" s="58" t="s">
        <v>253</v>
      </c>
    </row>
    <row r="38" spans="1:11" ht="12" customHeight="1" x14ac:dyDescent="0.25"/>
    <row r="39" spans="1:11" ht="20.100000000000001" customHeight="1" x14ac:dyDescent="0.25">
      <c r="A39" s="98" t="s">
        <v>263</v>
      </c>
      <c r="B39" s="97"/>
      <c r="C39" s="97"/>
      <c r="D39" s="97"/>
      <c r="E39" s="97"/>
      <c r="F39" s="97"/>
      <c r="G39" s="97"/>
      <c r="H39" s="97"/>
      <c r="I39" s="97"/>
      <c r="J39" s="97"/>
      <c r="K39" s="97"/>
    </row>
    <row r="40" spans="1:11" ht="18" customHeight="1" x14ac:dyDescent="0.25">
      <c r="A40" s="52" t="s">
        <v>264</v>
      </c>
      <c r="B40" s="52" t="s">
        <v>265</v>
      </c>
      <c r="C40" s="52" t="s">
        <v>266</v>
      </c>
    </row>
    <row r="41" spans="1:11" ht="45" customHeight="1" x14ac:dyDescent="0.25">
      <c r="A41" s="59" t="s">
        <v>267</v>
      </c>
      <c r="B41" s="59" t="s">
        <v>268</v>
      </c>
      <c r="C41" s="60" t="s">
        <v>269</v>
      </c>
    </row>
    <row r="42" spans="1:11" ht="38.25" customHeight="1" x14ac:dyDescent="0.25">
      <c r="A42" s="61" t="s">
        <v>270</v>
      </c>
      <c r="B42" s="61" t="s">
        <v>271</v>
      </c>
      <c r="C42" s="62" t="s">
        <v>272</v>
      </c>
    </row>
    <row r="43" spans="1:11" ht="39" customHeight="1" x14ac:dyDescent="0.25">
      <c r="A43" s="63" t="s">
        <v>273</v>
      </c>
      <c r="B43" s="63" t="s">
        <v>274</v>
      </c>
      <c r="C43" s="64" t="s">
        <v>275</v>
      </c>
    </row>
    <row r="44" spans="1:11" ht="41.25" customHeight="1" x14ac:dyDescent="0.25">
      <c r="A44" s="65" t="s">
        <v>276</v>
      </c>
      <c r="B44" s="65" t="s">
        <v>277</v>
      </c>
      <c r="C44" s="66" t="s">
        <v>278</v>
      </c>
    </row>
  </sheetData>
  <mergeCells count="5">
    <mergeCell ref="A3:K3"/>
    <mergeCell ref="A21:K21"/>
    <mergeCell ref="A39:K39"/>
    <mergeCell ref="A2:K2"/>
    <mergeCell ref="A1:K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Ho-Ren-So</vt:lpstr>
      <vt:lpstr>Unit-Testing</vt:lpstr>
      <vt:lpstr>PostTest-Buoi1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TD.BM.01.05_KBGD v1.0_Kich ban giang day (trainer’s guide)</dc:title>
  <dc:creator>Khuong. Le Dinh - CMCGlobal TD</dc:creator>
  <cp:lastModifiedBy>Tuấn Vũ</cp:lastModifiedBy>
  <dcterms:created xsi:type="dcterms:W3CDTF">2021-05-05T07:21:49Z</dcterms:created>
  <dcterms:modified xsi:type="dcterms:W3CDTF">2026-06-26T01:06:26Z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0x010100EDD2364EB767184EA320A10B10358FF5</vt:lpwstr>
  </property>
  <property fmtid="{D5CDD505-2E9C-101B-9397-08002B2CF9AE}" pid="3" name="MediaServiceImageTags">
    <vt:lpwstr/>
  </property>
  <property fmtid="{D5CDD505-2E9C-101B-9397-08002B2CF9AE}" pid="4" name="MSIP_Label_4637e5cc-ed1f-4ad6-a881-35c0f1c6f3d8_Enabled">
    <vt:lpwstr>true</vt:lpwstr>
  </property>
  <property fmtid="{D5CDD505-2E9C-101B-9397-08002B2CF9AE}" pid="5" name="MSIP_Label_4637e5cc-ed1f-4ad6-a881-35c0f1c6f3d8_SetDate">
    <vt:lpwstr>2026-06-23T08:13:05Z</vt:lpwstr>
  </property>
  <property fmtid="{D5CDD505-2E9C-101B-9397-08002B2CF9AE}" pid="6" name="MSIP_Label_4637e5cc-ed1f-4ad6-a881-35c0f1c6f3d8_Method">
    <vt:lpwstr>Standard</vt:lpwstr>
  </property>
  <property fmtid="{D5CDD505-2E9C-101B-9397-08002B2CF9AE}" pid="7" name="MSIP_Label_4637e5cc-ed1f-4ad6-a881-35c0f1c6f3d8_Name">
    <vt:lpwstr>General</vt:lpwstr>
  </property>
  <property fmtid="{D5CDD505-2E9C-101B-9397-08002B2CF9AE}" pid="8" name="MSIP_Label_4637e5cc-ed1f-4ad6-a881-35c0f1c6f3d8_SiteId">
    <vt:lpwstr>e3cf3c98-a978-465f-8254-9d541eeea73c</vt:lpwstr>
  </property>
  <property fmtid="{D5CDD505-2E9C-101B-9397-08002B2CF9AE}" pid="9" name="MSIP_Label_4637e5cc-ed1f-4ad6-a881-35c0f1c6f3d8_ActionId">
    <vt:lpwstr>050c6cb6-d706-407c-9b7e-c7cac8e000cf</vt:lpwstr>
  </property>
  <property fmtid="{D5CDD505-2E9C-101B-9397-08002B2CF9AE}" pid="10" name="MSIP_Label_4637e5cc-ed1f-4ad6-a881-35c0f1c6f3d8_ContentBits">
    <vt:lpwstr>2</vt:lpwstr>
  </property>
  <property fmtid="{D5CDD505-2E9C-101B-9397-08002B2CF9AE}" pid="11" name="MSIP_Label_4637e5cc-ed1f-4ad6-a881-35c0f1c6f3d8_Tag">
    <vt:lpwstr>10, 3, 0, 1</vt:lpwstr>
  </property>
</Properties>
</file>