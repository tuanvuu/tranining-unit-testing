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workspace\github\vutt\tranining-unit-testing\"/>
    </mc:Choice>
  </mc:AlternateContent>
  <xr:revisionPtr revIDLastSave="0" documentId="13_ncr:1_{AFCB82AC-9270-4499-8232-DD80C28710E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-Ren-So" sheetId="1" r:id="rId1"/>
    <sheet name="Sheet1" sheetId="2" r:id="rId2"/>
    <sheet name="Unit-Te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 a="1"/>
  <c r="H7" i="3" s="1"/>
  <c r="E23" i="3"/>
  <c r="E22" i="3"/>
  <c r="E21" i="3"/>
  <c r="E20" i="3"/>
  <c r="E19" i="3"/>
  <c r="E18" i="3"/>
  <c r="E17" i="3"/>
  <c r="E16" i="3"/>
  <c r="E15" i="3"/>
  <c r="E24" i="3" s="1"/>
  <c r="E14" i="3"/>
  <c r="E13" i="3"/>
  <c r="E12" i="3"/>
  <c r="E11" i="3"/>
  <c r="E10" i="3"/>
  <c r="E14" i="1"/>
  <c r="E15" i="1" s="1"/>
  <c r="E13" i="1"/>
  <c r="E12" i="1"/>
  <c r="E11" i="1"/>
  <c r="E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<sst xmlns="http://schemas.openxmlformats.org/spreadsheetml/2006/main" count="160" uniqueCount="134">
  <si>
    <t>DETAILED TRAINING PLAN</t>
  </si>
  <si>
    <t>MINDSET TRAINING - "HO-REN-SO" MODULE</t>
  </si>
  <si>
    <t xml:space="preserve">Mục tiêu đào tạo 
(Training Objectives): 
Example: 
After completing the training, the participants are able to:
- Understand the standard working mindset required in Japanese projects
- ...
</t>
  </si>
  <si>
    <t>Đối tượng học viên:
[Target participant]</t>
  </si>
  <si>
    <t>Eg: All CMCG personnel about to join or currently working in projects for NTTD's Japanese clients</t>
  </si>
  <si>
    <t>Hình thức:
[Mode]</t>
  </si>
  <si>
    <t>Eg: 
1st time: Online via MS Teams
Quaterly Retrainings: E-Learning on LMS</t>
  </si>
  <si>
    <t>Phương pháp đánh giá:
[Evaluation methods]</t>
  </si>
  <si>
    <t>Eg: 
1. Post-Training Survey Form
2. Post-Training Test</t>
  </si>
  <si>
    <t>Thời lượng:
[Duration]</t>
  </si>
  <si>
    <t>Eg: 1 hour (60 minutes)</t>
  </si>
  <si>
    <t>Số lượng học viên:
[Number of participants]</t>
  </si>
  <si>
    <t>Eg: upto 20 pax/class</t>
  </si>
  <si>
    <t>Giảng viên:
[Trainer]</t>
  </si>
  <si>
    <t>Eg: 
- Pilot: CMCG Pham Khanh Linh &amp; NTTD Nguyen Ly Linh 
- Later: can be transfered to BrSE/PM/PMO/Training Specialist from both companies</t>
  </si>
  <si>
    <t>Kết quả kỳ vọng
(Expected Outcomes):
Example: 
- The average learner satisfaction rating for the course is 4.0/5.0 or higher
- 100% of participants pass the Post-Training Test</t>
  </si>
  <si>
    <t>Thời điểm:
[Timing]</t>
  </si>
  <si>
    <t>Eg:
- 1st time: before joining project
- Retrainings: quarterly/ twice a year
- Class timing: 16:30 - 17:30 Friday</t>
  </si>
  <si>
    <t>Điều kiện tiên quyết:
[Pre-requisite]</t>
  </si>
  <si>
    <t>Eg: Participants must have completed the onboard training by CMCG before joining this session</t>
  </si>
  <si>
    <t>Bố trí phòng học
[Classroom Layout]</t>
  </si>
  <si>
    <t>Eg: 4 groups x 5 participants/group
(only in case of Offline Training)</t>
  </si>
  <si>
    <t>Ngày
[Date]</t>
  </si>
  <si>
    <t>Thời gian
[Time]</t>
  </si>
  <si>
    <t>Thời lượng - phút
[Duration - mins]</t>
  </si>
  <si>
    <t>Học phần
[Section]</t>
  </si>
  <si>
    <t>Nội dung
[Content]</t>
  </si>
  <si>
    <t>Diễn giải chi tiết
[Detailed Interpretation]</t>
  </si>
  <si>
    <t>Kết quả kỳ vọng
[Desired outcome]</t>
  </si>
  <si>
    <t>Phương pháp đào tạo
[Instructional methods]</t>
  </si>
  <si>
    <t>Training Materials
[Trainer]</t>
  </si>
  <si>
    <t>Ghi chú
[Notes]</t>
  </si>
  <si>
    <t>Bắt đầu
[Start]</t>
  </si>
  <si>
    <t>Kết thúc
[End]</t>
  </si>
  <si>
    <t>Check-in</t>
  </si>
  <si>
    <t>Introduction</t>
  </si>
  <si>
    <t>Definitions</t>
  </si>
  <si>
    <t>1….
2….</t>
  </si>
  <si>
    <t>1….
1.1…
1.2…
1.3…
2….
2.1….
2.2….
2.3….</t>
  </si>
  <si>
    <t>Eg: Presentation/Group discussion/ Roleplay/Demo/MiniQuiz,…</t>
  </si>
  <si>
    <t>Eg: 
Slides
Handouts</t>
  </si>
  <si>
    <t>Principles of Ho-Ren-So in Japanese projects</t>
  </si>
  <si>
    <t>1….
2….
3…</t>
  </si>
  <si>
    <t>Conclusion</t>
  </si>
  <si>
    <t>Eg: Test via MS Forms/Kahoot
Feedback form via MS Forms</t>
  </si>
  <si>
    <t>UNIT TESTING TRAINING MODULE - PHẦN 1 &amp; PHẦN 2 (Java 17+ · JUnit 5 · Mockito)</t>
  </si>
  <si>
    <t>Mục tiêu đào tạo
(Training Objectives):
Sau khi hoàn thành training, học viên có thể:
- Hiểu mục tiêu thực sự của unit testing là duy trì sustainable development của dự án, không chạy theo coverage
- Phân biệt London School và Classical School, áp dụng đúng nguyên tắc isolation theo từng ngữ cảnh
- Viết unit test sạch theo chuẩn AAA (Arrange-Act-Assert), đặt tên test theo business fact
- Đánh giá chất lượng test theo 4 trụ cột: Bảo vệ Regression, Khả năng chịu đựng Refactoring, Phản hồi nhanh, Khả năng bảo trì
- Phân biệt Mock (outgoing interaction) và Stub (incoming data); không bao giờ assert vào Stub
- Áp dụng Humble Object Pattern và mô hình Functional Core/Mutable Shell để tái cấu trúc code khó test
- Nhận diện và loại bỏ 5 anti-pattern phổ biến: test private method, lộ private state, code pollution, mock concrete class, time-dependent flaky test</t>
  </si>
  <si>
    <t>Java Developer (Junior/Middle/Senior), Tech Lead, QA Automation Engineer đang hoặc sẽ viết unit test cho dự án Java</t>
  </si>
  <si>
    <t>2 buổi:
- Phần 1: ~165 phút (2 giờ 45 phút, kể cả check-in/giải lao)
- Phần 2: ~165 phút (2 giờ 45 phút, kể cả check-in/giải lao)</t>
  </si>
  <si>
    <t>Tối đa 20-25 pax/lớp</t>
  </si>
  <si>
    <t>Trịnh Tuấn Vũ</t>
  </si>
  <si>
    <t>Kết quả kỳ vọng
(Expected Outcomes):
- Điểm hài lòng trung bình của học viên đạt 4.0/5.0 hoặc cao hơn
- 100% học viên hoàn thành bài tập thực hành refactor sau mỗi buổi
- Tối thiểu 80% học viên đạt yêu cầu trong Post-Training Quiz
- Sau training, tỷ lệ false positive/flaky test trong CI pipeline của team giảm rõ rệt; codebase có nhiều Output-Based Test hơn</t>
  </si>
  <si>
    <t>Đã biết lập trình Java cơ bản, đã từng viết hoặc đọc qua JUnit test.
Đã cài đặt sẵn: JDK 17+, Maven, IDE (IntelliJ/Eclipse), JUnit 5, Mockito, JaCoCo trước buổi học</t>
  </si>
  <si>
    <t>Buổi 1
[Ngày dự kiến]
Unit Testing - Phần 1</t>
  </si>
  <si>
    <t>Ổn định lớp, kiểm tra kết nối (Online) / điểm danh (Offline)</t>
  </si>
  <si>
    <t>Slide chào mừng</t>
  </si>
  <si>
    <t>Giới thiệu &amp; Agenda</t>
  </si>
  <si>
    <t>1. Giới thiệu giảng viên, mục tiêu buổi học
2. Agenda Phần 1: Tư duy cốt lõi, kiến trúc test, clean framework với Java</t>
  </si>
  <si>
    <t>Giới thiệu nhanh giảng viên và bối cảnh training.
Trình bày agenda: 3 chương chính của Phần 1 (Mục tiêu &amp; Cái bẫy Coverage, Định nghĩa Unit Test, Giải phẫu AAA) và preview 4 chủ đề của Phần 2.
Nêu rõ kết quả mong đợi sau Phần 1: hiểu vì sao 100% coverage không đảm bảo chất lượng, biết chọn Classical School, viết test sạch theo AAA</t>
  </si>
  <si>
    <t>Học viên nắm được lộ trình 2 buổi và kỳ vọng đầu ra của từng phần</t>
  </si>
  <si>
    <t>Presentation</t>
  </si>
  <si>
    <t>Slides Phần 1 (Unit-Testing-Phan-1.pptx)</t>
  </si>
  <si>
    <t>Chương 1: Mục tiêu thật của Unit Testing &amp; Cái bẫy Coverage</t>
  </si>
  <si>
    <t>1. Mục tiêu tối thượng của Unit Testing
2. Hiện thực khắc nghiệt của phát triển phần mềm (Greenfield -&gt; Khủng hoảng)
3. Cái bẫy của Line Coverage &amp; Branch Coverage
4. Live Demo 1: Ảo giác của Coverage (~3 phút)
5. Điều gì tạo nên một test suite thành công</t>
  </si>
  <si>
    <t>1. Mục tiêu của unit test không phải là số coverage mà là duy trì sustainable development; không có test thì chi phí bảo trì tăng theo cấp số nhân
1.1 Giai đoạn Greenfield: tốc độ cao, developer tự tin tuyệt đối
1.2 Một năm sau: codebase trở thành 'Big Ball of Mud'
1.3 Khủng hoảng: sợ refactor vì test đỏ tràn lan dù production vẫn chạy đúng
2. Line coverage là ảo giác: 100% coverage không đồng nghĩa 100% chất lượng vì có thể là assertion-free test
2.1 Branch coverage tốt hơn nhưng vẫn bỏ sót edge case và tương tác với third-party library
2.2 Nguyên tắc vàng: Coverage là negative indicator tốt, positive indicator tệ
3. Live Demo 1: dùng JaCoCo demo một method giảm giá có bug ẩn trong branch chưa được assert - coverage báo 100% xanh nhưng bug vẫn lọt vào production
4. Test suite thành công cần: tích hợp sâu vào CI/CD, tập trung vào Domain Logic, chi phí bảo trì thấp</t>
  </si>
  <si>
    <t>Học viên hiểu vì sao không nên dùng % coverage làm KPI duy nhất, và phân biệt được negative vs positive indicator của coverage metric</t>
  </si>
  <si>
    <t>Presentation + Live Coding Demo + Discussion</t>
  </si>
  <si>
    <t>Slides, IDE, JaCoCo, Maven project mẫu (Calculator/Discount)</t>
  </si>
  <si>
    <t>Nhấn mạnh ví dụ Calculator.add(): coverage 100% nhưng zero value vì thiếu assertion</t>
  </si>
  <si>
    <t>Chương 2: Định nghĩa "Unit Test" - London School vs Classical School</t>
  </si>
  <si>
    <t>1. 3 thuộc tính xác định một Unit Test
2. Cuộc tranh luận Isolation: London School vs Classical School
3. Hiểu về các loại Dependency: Shared, Out-of-Process, Private
4. So sánh code Java: London style (mock everything) vs Classical style (real domain object)
5. Ma trận quyết định Classical vs London
6. Vì sao xu hướng Pragmatic ưu tiên Classical School (Structural Coupling &amp; False Positive)
7. Live Demo 2: Test mong manh vs thực dụng (~5 phút)
8. Integration Testing dưới 2 góc nhìn</t>
  </si>
  <si>
    <t>1. Một Unit Test hợp lệ phải: (a) verify đúng 1 unit, (b) chạy cực nhanh (mili-giây), (c) chạy trong isolation hoàn toàn
2.1 London School: 'unit' = 1 class, mock toàn bộ collaborator, isolation = tách class khỏi dependency
2.2 Classical School: 'unit' = 1 hành vi nghiệp vụ (có thể nhiều class thật), isolation = tách test case khỏi nhau, chỉ mock dependency dùng chung/ngoài process
3.1 Shared Dependency: static field, singleton, DB instance dùng chung -&gt; phải mock/isolate
3.2 Out-of-Process Dependency: DB thật, message queue, SMTP, API ngoài -&gt; luôn mock trong unit test
3.3 Private Dependency: collection nội bộ, value object -&gt; an toàn dùng real object, không mock
4. Ví dụ OrderService: London style verify(repoMock).reduceInventory(...) sẽ vỡ nếu đổi tên method dù behavior đúng; Classical style assertEquals(5, warehouse.getStock(...)) vẫn xanh sau refactor
5. Ma trận: London có độ chi tiết lỗi cao nhưng an toàn refactor thấp; Classical an toàn refactor cao, chỉ cần debug nhiều hơn khi lỗi xảy ra ở hành vi nhiều class
6. Mock quá tay gây Structural Coupling -&gt; False Positive khi refactor đúng nhưng method bị mock đổi signature -&gt; developer dần mất niềm tin vào test suite
7. Live Demo 2: refactor 1 UserProfile service đổi cách update tên - London test (mock nặng) vỡ, Classical test (domain object thật) vẫn xanh
8. London School: 2 class thật cộng tác = Integration Test. Classical School: chỉ test chạm out-of-process dependency mới là Integration Test</t>
  </si>
  <si>
    <t>Học viên phân biệt rõ London vs Classical School và chọn Classical School làm default approach trừ khi có lý do đặc biệt; hiểu 3 loại dependency để quyết định mock hay không</t>
  </si>
  <si>
    <t>Presentation + Live Coding Demo + Group Discussion + Code Comparison</t>
  </si>
  <si>
    <t>Slides, IDE, Mockito, OrderService/Warehouse code mẫu, UserProfile demo project</t>
  </si>
  <si>
    <t>Trọng tâm Phần 1: Classical School là default; chỉ mock Shared/Out-of-Process dependency</t>
  </si>
  <si>
    <t>Giải lao</t>
  </si>
  <si>
    <t>Nghỉ giải lao, giải đáp nhanh thắc mắc</t>
  </si>
  <si>
    <t>Chương 3: Giải phẫu Unit Test - AAA Pattern, Naming Convention, Parameterized Test</t>
  </si>
  <si>
    <t>1. AAA Pattern: Arrange - Act - Assert
2. Quy tắc vàng cho khối Act (chỉ 1 dòng) - Live Demo 3 (~4 phút)
3. Không đặt logic điều kiện (if/else, loop) trong test
4. Định kích thước hợp lý từng khối AAA + Teardown
5. Quy ước đặt tên test theo "business fact", không theo tên method
6. Live Demo 4: Refactor tên test &amp; áp dụng @ParameterizedTest (~4 phút)
7. Giữ Assertion đơn giản: JUnit 5 chuẩn vs Fluent library (AssertJ/Hamcrest)</t>
  </si>
  <si>
    <t>1. Arrange: thiết lập world (object, mock, input). Act: gọi đúng 1 method/behavior, đúng 1 dòng. Assert: kiểm tra outcome, ngắn gọn, 1 khái niệm/test
2. Act nhiều dòng (order.calculateTotal(); order.applyTax(); order.setFinalPrice();) là code smell - là dấu hiệu vi phạm encapsulation ở production code, không phải lỗi của test -&gt; fix bằng cách thêm method domain rõ nghĩa (order.finalizeOrder())
Live Demo 3: refactor Order class để Act block về đúng 1 dòng
3. Cấm if/else/switch/for/while trong thân test vì làm tăng cyclomatic complexity của chính test; nếu cần rẽ nhánh -&gt; tách thành 2 test method hoặc dùng @ParameterizedTest
4. Assert nên ngắn gọn (1 khái niệm/test); Act đúng 1 dòng, không ngoại lệ; Arrange thường lớn nhất, nếu quá khổng lồ thì tách bằng Factory Pattern/Object Mother
Teardown: KHÔNG cần cho unit test thuần memory (JVM GC tự xử lý); chỉ cần cho Integration Test có đụng external resource (file, DB, network)
5. Naming cũ [Method]_[State]_[ExpectedBehavior] (VD: add_twoNumbers_returnsSum) gắn chặt vào tên method, vỡ khi rename, khó hiểu với non-technical stakeholder
Naming hiện đại: viết tên test như 1 câu fact nghiệp vụ, không dùng thuật ngữ code (method/class/returns/null). VD tốt: sum_of_two_numbers_must_be_mathematically_correct
6. Live Demo 4: gộp 3 test gần giống nhau thành 1 @ParameterizedTest với @CsvSource, đặt tên theo business fact, vẫn giữ AAA structure
7. Ưu tiên assertEquals/assertTrue/assertThrows chuẩn JUnit 5 vì rõ ràng, ai cũng hiểu ngay; chỉ dùng AssertJ/Hamcrest khi thực sự giảm cognitive load (assert collection, custom message), không dùng để "sành điệu"</t>
  </si>
  <si>
    <t>Học viên viết được unit test tuân thủ chuẩn AAA với Act đúng 1 dòng, đặt tên test theo business fact, và dùng @ParameterizedTest để loại bỏ trùng lặp</t>
  </si>
  <si>
    <t>Presentation + Live Coding Demo x2 + Hands-on Exercise</t>
  </si>
  <si>
    <t>Slides, IDE, JUnit 5, AssertJ, Order/Calculator code mẫu</t>
  </si>
  <si>
    <t>Bài tập về nhà: đổi tên 5 test hiện có trong project của học viên theo business fact</t>
  </si>
  <si>
    <t>Tổng kết Phần 1 &amp; Q&amp;A</t>
  </si>
  <si>
    <t>1. Tóm tắt: Tầm nhìn - Trường phái - Code sạch
2. Preview Phần 2: 4 trụ cột, quy tắc Mocking, phân loại Test Double
3. Hỏi đáp &amp; thảo luận case thực tế từ codebase học viên</t>
  </si>
  <si>
    <t>Tầm nhìn: test để hỗ trợ sustainable feature delivery, không chạy theo coverage. Trường phái: áp dụng Classical approach, chỉ mock dependency qua process boundary. Code sạch: Act 1 dòng, không rẽ nhánh trong test, đặt tên theo business fact.
Mời học viên mang test case "khó chịu nhất" của mình để cùng chẩn đoán (ảo giác coverage / false-positive machine / Classical test tốt bị đặt tên xấu)</t>
  </si>
  <si>
    <t>Học viên tổng hợp được 3 nguyên tắc cốt lõi của Phần 1 và sẵn sàng cho bài tập thực hành trước Phần 2</t>
  </si>
  <si>
    <t>Discussion + Q&amp;A</t>
  </si>
  <si>
    <t>Slide tổng kết</t>
  </si>
  <si>
    <t>Giao bài tập: review/refactor 5 test theo business fact naming trước khi vào Phần 2</t>
  </si>
  <si>
    <t>Buổi 2
[Ngày dự kiến]
Unit Testing - Phần 2</t>
  </si>
  <si>
    <t>Check-in / Ôn tập nhanh Phần 1</t>
  </si>
  <si>
    <t>Ổn định lớp; ôn nhanh 3 điểm chính Phần 1: Classical School, AAA, Coverage không đảm bảo chất lượng</t>
  </si>
  <si>
    <t>Slide ôn tập</t>
  </si>
  <si>
    <t>Chương 4: Bốn Trụ Cột của Unit Test Tốt</t>
  </si>
  <si>
    <t>1. Trụ cột 1: Bảo vệ chống Regression
2. Trụ cột 2: Khả năng chịu đựng Refactoring
3. Trụ cột 3: Phản hồi nhanh (Fast Feedback)
4. Trụ cột 4: Khả năng bảo trì (Maintainability)
5. Ma trận đánh đổi: End-to-End vs Trivial Unit Test vs Brittle London Test
6. Live Demo 1: Kiểm toán code tương tác theo 4 trụ cột</t>
  </si>
  <si>
    <t>1. Regression: test phải phát hiện bug khi code thay đổi; tập trung business rules, tối đa production code coverage ở vùng rủi ro cao
2. Refactoring resistance: test phải giữ xanh khi đổi implementation detail mà hành vi bên ngoài không đổi; đây là trụ cột HAY BỊ HY SINH NHẤT vì mock quá tay - nguyên nhân số 1 gây test suite mong manh
3. Fast Feedback: unit test không gọi network/DB/filesystem; mục tiêu toàn bộ suite chạy dưới 30 giây; test chậm sẽ bị developer bỏ qua
4. Maintainability: test phải rõ như tài liệu sống, tránh test data bloat, mỗi test chỉ kiểm 1 hành vi
5. Không thể tối đa hóa đồng thời cả 3 trụ cột đầu: E2E test bảo vệ cao nhưng chậm; Trivial unit test nhanh nhưng zero giá trị regression; Brittle London test nhanh + bảo vệ cao nhưng chịu đựng refactor kém. Mục tiêu lý tưởng: Unit test kiểm tra Domain Logic - vừa bảo vệ cao vừa chịu đựng refactor tốt
6. Live Demo: áp 4 trụ cột lên 1 method Java phức tạp dùng nhiều mock Mockito, demo đổi tên biến đơn giản làm vỡ cả test suite dù logic đúng</t>
  </si>
  <si>
    <t>Học viên dùng được 4 trụ cột làm khung định lượng để quyết định một test là tài sản hay gánh nặng, và ưu tiên đúng Refactoring Resistance khi có đánh đổi</t>
  </si>
  <si>
    <t>Presentation + Live Coding Demo + Scoring Exercise</t>
  </si>
  <si>
    <t>Slides Phần 2 (Unit-Testing-Phan-2.pptx), IDE, Mockito</t>
  </si>
  <si>
    <t>Trọng tâm: Refactoring Resistance là trụ cột ưu tiên cao nhất khi có đánh đổi</t>
  </si>
  <si>
    <t>Chương 5: Mock và Sự Mong Manh của Test</t>
  </si>
  <si>
    <t>1. Phân biệt Mock (outgoing interaction) vs Stub (incoming data)
2. Quy tắc vàng: KHÔNG BAO GIỜ assert vào Stub
3. Hành vi Observable vs Chi tiết triển khai
4. Kết nối với Hexagonal Architecture: chỉ mock tại boundary/adapter
5. Live Demo 2: Nguy hiểm của việc assert Stub (~5 phút)</t>
  </si>
  <si>
    <t>1. Mock dùng để verify tương tác outgoing từ SUT đến collaborator (VD: verify email đã gửi qua SMTP đúng 1 lần) - đây là đích assertion hợp lệ. Stub dùng để cung cấp data đầu vào có sẵn (VD: trả User giả từ mock DB) - không bao giờ assert vào stub
2. Asserting vào stub kết nối test với cơ chế truy xuất dữ liệu nội bộ -&gt; tạo false positive ngay khi refactor
3. Chỉ nên connect test với Observable Behavior: giá trị trả về, thay đổi state quan sát được từ ngoài, side-effect bên ngoài (gửi email, ghi log). KHÔNG connect với Implementation Detail: cấu trúc dữ liệu nội bộ, private field, helper method, object trung gian
4. Trong Hexagonal Architecture: bên trong Hexagon (Domain Logic) viết Output-Based Test thuần túy, không mock. Bên ngoài Hexagon (REST Controller, DB Adapter, MQ, SMTP Gateway) mới là nơi mock, tại biên giới với unmanaged external system
5. Live Demo: 1 test dùng verify(repo).findById() (stub bị assert nhầm) -&gt; đổi tên method production thành getUserByEmail() (logic vẫn đúng) -&gt; test đỏ ngay (false positive kinh điển) -&gt; fix bằng cách xóa verify() trên stub -&gt; test xanh lại và chịu đựng refactor tốt</t>
  </si>
  <si>
    <t>Học viên phân biệt chính xác Mock vs Stub trong Mockito, và áp dụng quy tắc never-assert-stub để loại bỏ false positive</t>
  </si>
  <si>
    <t>Presentation + Live Coding Demo + Code Review</t>
  </si>
  <si>
    <t>Slides, IDE, Mockito, UserService/Repository code mẫu</t>
  </si>
  <si>
    <t>Quy tắc vàng cần nhấn mạnh nhiều lần: KHÔNG verify() trên Stub</t>
  </si>
  <si>
    <t>Chương 6: Ba Phong Cách Unit Testing</t>
  </si>
  <si>
    <t>1. Phong cách 1 - Output-Based Testing (đỉnh cao chất lượng)
2. Phong cách 2 - State-Based Testing (thực dụng &amp; phổ biến)
3. Phong cách 3 - Communication-Based Testing (phương án cuối cùng)
4. Pure Function / Functional Architecture: Functional Core vs Mutable Shell
5. Live Demo 3: Chuyển đổi Communication-Based sang Output-Based (~5 phút)</t>
  </si>
  <si>
    <t>1. Output-Based: đưa input vào SUT, kiểm tra output trả về; không đổi state, không mock. Yêu cầu pure function/functional style. Đạt 100% ở cả 3 trụ cột Refactoring/Speed/Maintainability - đây là phong cách lý tưởng nhất, mọi refactor nên hướng tới đây
2. State-Based: gọi 1 hành vi rồi kiểm tra trạng thái cuối của object/collaborator trong memory, không quan tâm cách đạt tới trạng thái đó
3. Communication-Based: dùng mock để verify tương tác giữa SUT và collaborator; bảo trì thấp nhất và chịu đựng refactor kém nhất vì gắn chặt vào implementation detail; chỉ dùng cho unmanaged external process không thể thay bằng real implementation
4. Functional Core (pure domain logic, không side-effect) nên được test 100% Output-Based; Mutable Shell (I/O, DB/API, side-effect) chỉ cần Integration Test tối thiểu. Shell càng mỏng, tỷ lệ Output-Based Test càng cao, chất lượng suite càng tốt
5. Live Demo: 1 service đang mock file reader + tính toán phức tạp bên trong + mock file writer (3-4 mock, test mong manh) -&gt; tách phần tính toán thành pure Java class không dependency, Shell chỉ đọc/ghi file -&gt; viết Output-Based test 100% không mock cho core logic -&gt; test ngắn, nhanh, chịu đựng refactor hoàn hảo</t>
  </si>
  <si>
    <t>Học viên ưu tiên thiết kế code theo Functional Core/Mutable Shell để tối đa hóa tỷ lệ Output-Based Test, chỉ dùng Communication-Based khi không còn lựa chọn khác</t>
  </si>
  <si>
    <t>Presentation + Live Coding Demo + Refactoring Exercise</t>
  </si>
  <si>
    <t>Slides, IDE, code mẫu file reader/writer + calculation engine</t>
  </si>
  <si>
    <t>Thứ tự ưu tiên phong cách: Output-Based &gt; State-Based &gt; Communication-Based</t>
  </si>
  <si>
    <t>Chương 7: Tái Cấu Trúc Hướng Đến Test Có Giá Trị &amp; Anti-Pattern</t>
  </si>
  <si>
    <t>1. Bốn Quadrant của Production Code (Domain Model, Overcomplicated Code, Trivial Code, Controllers)
2. Humble Object Pattern để tách Overcomplicated Code
3. Live Demo 4: Humble Object Pattern trong thực tế (~5 phút)
4. 5 Anti-pattern phổ biến: test private method, lộ private state, code pollution, mock concrete class, time-dependent flaky test
5. Live Demo 5: Tiêu diệt bug thời gian &amp; flakiness (~5 phút)</t>
  </si>
  <si>
    <t>1. Domain Model (complexity cao, ít collaborator) = vùng vàng, viết Output-Based Unit Test. Overcomplicated Code (complexity cao, nhiều collaborator) = vùng nguy hiểm nhất, không test tốt được, cần refactor ngay. Trivial Code (complexity thấp, ít collaborator) = getter/setter, ROI test quá thấp, không cần đầu tư test. Controllers (complexity thấp, nhiều collaborator) = orchestrator I/O, dùng Integration Test thay Unit Test
2. Humble Object: tách logic business (pure, dễ test bằng Output-Based Test) ra khỏi orchestrator/controller (Humble Object) chỉ điều phối infrastructure, không chứa business logic
3. Live Demo: 1 legacy class kết nối DB + tính loyalty tier + ghi log trong 1 method -&gt; trích logic tính loyalty thành pure class LoyaltyCalculator -&gt; tạo LoyaltyController (Humble Object) chỉ fetch DB + gọi Calculator -&gt; viết Output-Based test cho LoyaltyCalculator, không mock, không DB, chạy micro-giây
4. Anti-pattern 1: test private method bằng reflection/đổi visibility - sai, hãy test qua public behavior. Anti-pattern 2: lộ private state chỉ để test được. Anti-pattern 3: code pollution (VD if(isTestEnvironment)) đầu độc production code. Anti-pattern 4: mock concrete class (kế thừa real behavior, non-deterministic) - chỉ nên mock interface đại diện architectural boundary. Anti-pattern 5: dùng LocalDateTime.now() trong domain logic gây flaky test (pass ban ngày, fail nửa đêm) - fix bằng inject java.time.Clock (Clock.fixed()) hoặc truyền timestamp như parameter
5. Live Demo: tái hiện flaky test trong nightly build -&gt; chẩn đoán nguyên nhân LocalDateTime.now() -&gt; refactor dùng Clock.fixed()/explicit timestamp -&gt; test deterministic, pass mãi mãi bất kể giờ chạy CI</t>
  </si>
  <si>
    <t>Học viên nhận diện đúng quadrant của 1 đoạn code để chọn chiến lược test phù hợp, áp dụng được Humble Object Pattern, và tự rà soát/loại bỏ 5 anti-pattern phổ biến trong test suite hiện tại</t>
  </si>
  <si>
    <t>Presentation + Live Coding Demo x2 + Code Audit Exercise</t>
  </si>
  <si>
    <t>Slides, IDE, Mockito, LoyaltyCalculator/Controller code mẫu, java.time.Clock</t>
  </si>
  <si>
    <t>Tài liệu tham khảo: "Unit Testing: Principles, Practices, and Patterns" - Vladimir Khorikov</t>
  </si>
  <si>
    <t>Checklist Tổng Kết, Q&amp;A &amp; Kế Hoạch Triển Khai</t>
  </si>
  <si>
    <t>1. Checklist 4 bước cho Tech Lead: Đánh giá 4 trụ cột, Kiểm tra Mock usage, Kiến trúc Functional Core, Dọn dẹp Anti-pattern
2. Thảo luận: tỷ lệ Mock/Stub hiện tại của team, flaky test time-dependent trong nightly build, độ phù hợp Functional Core/Mutable Shell với kiến trúc hiện tại
3. Kế hoạch hành động: xác định Overcomplicated Zone trong codebase, lên lịch sprint refactor theo Humble Object Pattern</t>
  </si>
  <si>
    <t>Tổng kết toàn bộ Phần 2 bằng checklist 4 bước thực tế cho Tech Lead áp dụng ngay vào codebase team.
Mở thảo luận case thực tế: tỷ lệ Mock/Stub, flaky test, mức độ phù hợp của Functional Core/Mutable Shell.
Thống nhất kế hoạch: xác định vùng Overcomplicated trong codebase hiện tại làm điểm khởi đầu sprint refactor, ưu tiên class có debt kỹ thuật cao nhất và ảnh hưởng business lớn nhất</t>
  </si>
  <si>
    <t>Mỗi học viên/team xác định được ít nhất 1 vùng Overcomplicated Code trong project thực tế và có kế hoạch refactor bằng Humble Object Pattern trong sprint tới</t>
  </si>
  <si>
    <t>Discussion + Q&amp;A + Action Planning</t>
  </si>
  <si>
    <t>Slide tổng kết, Post-Training Survey Form (MS Forms), Post-Training Test</t>
  </si>
  <si>
    <t>Bài tập thực hành: áp dụng 4 Trụ Cột để review 3 test file trong project hiện tại của học viên trong 2 tuần tới</t>
  </si>
  <si>
    <t>TỔNG THỜI LƯỢNG ĐÀO TẠO (giờ:phút):</t>
  </si>
  <si>
    <t>Online qua MS Teams (có demo trực tiếp).</t>
  </si>
  <si>
    <t xml:space="preserve">1. Bài tập thực hành refactor test trên codebase mẫu (sau mỗi buổi)
2. Post-Training Quiz qua MS Forms/Kahoot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</si>
</sst>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rgb="FFFFFFFF"/>
      <name val="Calibri Light"/>
      <scheme val="major"/>
    </font>
    <font>
      <b/>
      <sz val="18"/>
      <color theme="0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b/>
      <sz val="24"/>
      <color rgb="FFFF0000"/>
      <name val="Calibri Light"/>
      <family val="2"/>
      <scheme val="major"/>
    </font>
    <font>
      <b/>
      <sz val="11"/>
      <name val="Calibri Ligh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2" borderId="0" xfId="0" applyFont="1" applyFill="1"/>
    <xf numFmtId="0" fontId="1" fillId="0" borderId="0" xfId="0" applyFont="1" applyAlignment="1">
      <alignment horizontal="center" vertical="top"/>
    </xf>
    <xf numFmtId="0" fontId="1" fillId="0" borderId="13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0" fontId="1" fillId="0" borderId="10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20" fontId="1" fillId="0" borderId="13" xfId="0" applyNumberFormat="1" applyFont="1" applyBorder="1" applyAlignment="1">
      <alignment horizontal="center" vertical="center"/>
    </xf>
    <xf numFmtId="20" fontId="1" fillId="0" borderId="19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8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20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20" fontId="1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13" xfId="0" applyBorder="1"/>
    <xf numFmtId="0" fontId="1" fillId="0" borderId="1" xfId="0" applyFont="1" applyBorder="1" applyAlignment="1">
      <alignment horizontal="left" vertical="top" wrapText="1"/>
    </xf>
    <xf numFmtId="0" fontId="0" fillId="0" borderId="21" xfId="0" applyBorder="1"/>
    <xf numFmtId="0" fontId="0" fillId="0" borderId="10" xfId="0" applyBorder="1"/>
    <xf numFmtId="0" fontId="4" fillId="3" borderId="17" xfId="0" applyFont="1" applyFill="1" applyBorder="1" applyAlignment="1">
      <alignment horizontal="center" vertical="center" wrapText="1"/>
    </xf>
    <xf numFmtId="0" fontId="0" fillId="0" borderId="25" xfId="0" applyBorder="1"/>
    <xf numFmtId="0" fontId="4" fillId="3" borderId="24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14" xfId="0" applyFont="1" applyFill="1" applyBorder="1" applyAlignment="1">
      <alignment horizontal="center" vertical="center" wrapText="1"/>
    </xf>
    <xf numFmtId="0" fontId="0" fillId="0" borderId="23" xfId="0" applyBorder="1"/>
    <xf numFmtId="0" fontId="7" fillId="3" borderId="2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0" fillId="0" borderId="6" xfId="0" applyBorder="1"/>
    <xf numFmtId="0" fontId="8" fillId="0" borderId="16" xfId="0" applyFont="1" applyBorder="1" applyAlignment="1">
      <alignment horizontal="center" vertical="center"/>
    </xf>
    <xf numFmtId="0" fontId="0" fillId="0" borderId="15" xfId="0" applyBorder="1"/>
    <xf numFmtId="0" fontId="5" fillId="3" borderId="2" xfId="0" applyFont="1" applyFill="1" applyBorder="1" applyAlignment="1">
      <alignment horizontal="center" vertical="center" wrapText="1"/>
    </xf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0" fillId="0" borderId="26" xfId="0" applyBorder="1"/>
    <xf numFmtId="0" fontId="0" fillId="0" borderId="27" xfId="0" applyBorder="1"/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3" fillId="3" borderId="14" xfId="0" applyFont="1" applyFill="1" applyBorder="1" applyAlignment="1">
      <alignment horizontal="center" vertical="center" wrapText="1"/>
    </xf>
    <xf numFmtId="0" fontId="0" fillId="0" borderId="17" xfId="0" applyBorder="1"/>
    <xf numFmtId="0" fontId="1" fillId="0" borderId="1" xfId="0" applyFont="1" applyBorder="1" applyAlignment="1">
      <alignment horizontal="center" vertical="center"/>
    </xf>
    <xf numFmtId="0" fontId="0" fillId="0" borderId="2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5"/>
  <sheetViews>
    <sheetView showGridLines="0" topLeftCell="A6" zoomScale="80" zoomScaleNormal="80" workbookViewId="0">
      <selection activeCell="I6" sqref="I6"/>
    </sheetView>
  </sheetViews>
  <sheetFormatPr defaultColWidth="9.140625" defaultRowHeight="15" customHeight="1" x14ac:dyDescent="0.25"/>
  <cols>
    <col min="1" max="1" width="5.5703125" style="1" customWidth="1"/>
    <col min="2" max="2" width="11.5703125" style="1" customWidth="1"/>
    <col min="3" max="4" width="10.5703125" style="1" customWidth="1"/>
    <col min="5" max="5" width="11.85546875" style="1" customWidth="1"/>
    <col min="6" max="6" width="25.42578125" style="1" customWidth="1"/>
    <col min="7" max="7" width="23.7109375" style="1" customWidth="1"/>
    <col min="8" max="8" width="32.140625" style="1" customWidth="1"/>
    <col min="9" max="9" width="22" style="1" customWidth="1"/>
    <col min="10" max="10" width="35.5703125" style="1" customWidth="1"/>
    <col min="11" max="11" width="25.42578125" style="1" customWidth="1"/>
    <col min="12" max="12" width="29.42578125" style="2" customWidth="1"/>
    <col min="13" max="13" width="9.140625" style="1" customWidth="1"/>
    <col min="14" max="16384" width="9.140625" style="1"/>
  </cols>
  <sheetData>
    <row r="1" spans="2:12" ht="3.95" customHeight="1" thickBot="1" x14ac:dyDescent="0.3"/>
    <row r="2" spans="2:12" ht="42.95" customHeight="1" thickBot="1" x14ac:dyDescent="0.3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2:12" ht="29.45" customHeight="1" x14ac:dyDescent="0.25">
      <c r="B3" s="48" t="s">
        <v>1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2:12" ht="47.45" customHeight="1" x14ac:dyDescent="0.25">
      <c r="B4" s="54" t="s">
        <v>2</v>
      </c>
      <c r="C4" s="55"/>
      <c r="D4" s="55"/>
      <c r="E4" s="55"/>
      <c r="F4" s="56"/>
      <c r="G4" s="28" t="s">
        <v>3</v>
      </c>
      <c r="H4" s="28" t="s">
        <v>4</v>
      </c>
      <c r="I4" s="29" t="s">
        <v>5</v>
      </c>
      <c r="J4" s="29" t="s">
        <v>6</v>
      </c>
      <c r="K4" s="28" t="s">
        <v>7</v>
      </c>
      <c r="L4" s="28" t="s">
        <v>8</v>
      </c>
    </row>
    <row r="5" spans="2:12" ht="92.45" customHeight="1" x14ac:dyDescent="0.25">
      <c r="B5" s="57"/>
      <c r="C5" s="58"/>
      <c r="D5" s="58"/>
      <c r="E5" s="58"/>
      <c r="F5" s="59"/>
      <c r="G5" s="28" t="s">
        <v>9</v>
      </c>
      <c r="H5" s="31" t="s">
        <v>10</v>
      </c>
      <c r="I5" s="29" t="s">
        <v>11</v>
      </c>
      <c r="J5" s="32" t="s">
        <v>12</v>
      </c>
      <c r="K5" s="29" t="s">
        <v>13</v>
      </c>
      <c r="L5" s="28" t="s">
        <v>14</v>
      </c>
    </row>
    <row r="6" spans="2:12" ht="90.95" customHeight="1" x14ac:dyDescent="0.25">
      <c r="B6" s="38" t="s">
        <v>15</v>
      </c>
      <c r="C6" s="39"/>
      <c r="D6" s="39"/>
      <c r="E6" s="39"/>
      <c r="F6" s="40"/>
      <c r="G6" s="27" t="s">
        <v>16</v>
      </c>
      <c r="H6" s="28" t="s">
        <v>17</v>
      </c>
      <c r="I6" s="28" t="s">
        <v>18</v>
      </c>
      <c r="J6" s="28" t="s">
        <v>19</v>
      </c>
      <c r="K6" s="29" t="s">
        <v>20</v>
      </c>
      <c r="L6" s="28" t="s">
        <v>21</v>
      </c>
    </row>
    <row r="7" spans="2:12" s="3" customFormat="1" ht="4.5" customHeight="1" thickBot="1" x14ac:dyDescent="0.3">
      <c r="B7" s="9"/>
      <c r="C7" s="10"/>
      <c r="D7" s="10"/>
      <c r="E7" s="10"/>
      <c r="F7" s="11"/>
      <c r="G7" s="11"/>
      <c r="H7" s="11"/>
      <c r="I7" s="11"/>
      <c r="J7" s="30"/>
      <c r="K7" s="12"/>
      <c r="L7" s="13"/>
    </row>
    <row r="8" spans="2:12" s="4" customFormat="1" ht="30.75" customHeight="1" x14ac:dyDescent="0.25">
      <c r="B8" s="52" t="s">
        <v>22</v>
      </c>
      <c r="C8" s="60" t="s">
        <v>23</v>
      </c>
      <c r="D8" s="61"/>
      <c r="E8" s="41" t="s">
        <v>24</v>
      </c>
      <c r="F8" s="43" t="s">
        <v>25</v>
      </c>
      <c r="G8" s="47" t="s">
        <v>26</v>
      </c>
      <c r="H8" s="45" t="s">
        <v>27</v>
      </c>
      <c r="I8" s="43" t="s">
        <v>28</v>
      </c>
      <c r="J8" s="43" t="s">
        <v>29</v>
      </c>
      <c r="K8" s="43" t="s">
        <v>30</v>
      </c>
      <c r="L8" s="43" t="s">
        <v>31</v>
      </c>
    </row>
    <row r="9" spans="2:12" s="4" customFormat="1" ht="36" customHeight="1" thickBot="1" x14ac:dyDescent="0.3">
      <c r="B9" s="53"/>
      <c r="C9" s="14" t="s">
        <v>32</v>
      </c>
      <c r="D9" s="15" t="s">
        <v>33</v>
      </c>
      <c r="E9" s="42"/>
      <c r="F9" s="44"/>
      <c r="G9" s="44"/>
      <c r="H9" s="46"/>
      <c r="I9" s="44"/>
      <c r="J9" s="44"/>
      <c r="K9" s="44"/>
      <c r="L9" s="44"/>
    </row>
    <row r="10" spans="2:12" s="16" customFormat="1" ht="33.950000000000003" customHeight="1" x14ac:dyDescent="0.25">
      <c r="B10" s="35"/>
      <c r="C10" s="22">
        <v>0.67708333333333337</v>
      </c>
      <c r="D10" s="22">
        <v>0.6875</v>
      </c>
      <c r="E10" s="23">
        <f>D10-C10</f>
        <v>1.041666666666663E-2</v>
      </c>
      <c r="F10" s="20" t="s">
        <v>34</v>
      </c>
      <c r="G10" s="24"/>
      <c r="H10" s="24"/>
      <c r="I10" s="5"/>
      <c r="J10" s="5"/>
      <c r="K10" s="5"/>
      <c r="L10" s="6"/>
    </row>
    <row r="11" spans="2:12" s="16" customFormat="1" ht="39" customHeight="1" x14ac:dyDescent="0.25">
      <c r="B11" s="36"/>
      <c r="C11" s="22">
        <v>0.6875</v>
      </c>
      <c r="D11" s="18">
        <v>0.69097222222222221</v>
      </c>
      <c r="E11" s="23">
        <f>D11-C11</f>
        <v>3.4722222222222099E-3</v>
      </c>
      <c r="F11" s="19" t="s">
        <v>35</v>
      </c>
      <c r="G11" s="25"/>
      <c r="H11" s="7"/>
      <c r="I11" s="7"/>
      <c r="J11" s="7"/>
      <c r="K11" s="25"/>
      <c r="L11" s="8"/>
    </row>
    <row r="12" spans="2:12" s="16" customFormat="1" ht="146.44999999999999" customHeight="1" x14ac:dyDescent="0.25">
      <c r="B12" s="36"/>
      <c r="C12" s="17">
        <v>0.69097222222222221</v>
      </c>
      <c r="D12" s="18">
        <v>0.69791666666666663</v>
      </c>
      <c r="E12" s="23">
        <f>D12-C12</f>
        <v>6.9444444444444198E-3</v>
      </c>
      <c r="F12" s="21" t="s">
        <v>36</v>
      </c>
      <c r="G12" s="25" t="s">
        <v>37</v>
      </c>
      <c r="H12" s="25" t="s">
        <v>38</v>
      </c>
      <c r="I12" s="25"/>
      <c r="J12" s="25" t="s">
        <v>39</v>
      </c>
      <c r="K12" s="25" t="s">
        <v>40</v>
      </c>
      <c r="L12" s="8"/>
    </row>
    <row r="13" spans="2:12" s="16" customFormat="1" ht="51" customHeight="1" x14ac:dyDescent="0.25">
      <c r="B13" s="36"/>
      <c r="C13" s="18">
        <v>0.69791666666666663</v>
      </c>
      <c r="D13" s="18">
        <v>0.72569444444444442</v>
      </c>
      <c r="E13" s="23">
        <f>D13-C13</f>
        <v>2.777777777777779E-2</v>
      </c>
      <c r="F13" s="21" t="s">
        <v>41</v>
      </c>
      <c r="G13" s="25" t="s">
        <v>42</v>
      </c>
      <c r="H13" s="25"/>
      <c r="I13" s="25"/>
      <c r="J13" s="25"/>
      <c r="K13" s="7"/>
      <c r="L13" s="8"/>
    </row>
    <row r="14" spans="2:12" s="16" customFormat="1" ht="47.45" customHeight="1" x14ac:dyDescent="0.25">
      <c r="B14" s="37"/>
      <c r="C14" s="17">
        <v>0.72569444444444442</v>
      </c>
      <c r="D14" s="18">
        <v>0.72916666666666663</v>
      </c>
      <c r="E14" s="23">
        <f>D14-C14</f>
        <v>3.4722222222222099E-3</v>
      </c>
      <c r="F14" s="21" t="s">
        <v>43</v>
      </c>
      <c r="G14" s="25"/>
      <c r="H14" s="25"/>
      <c r="I14" s="25"/>
      <c r="J14" s="25"/>
      <c r="K14" s="26" t="s">
        <v>44</v>
      </c>
      <c r="L14" s="8"/>
    </row>
    <row r="15" spans="2:12" ht="15" customHeight="1" x14ac:dyDescent="0.25">
      <c r="E15" s="33">
        <f>SUM(E11:E14)</f>
        <v>4.166666666666663E-2</v>
      </c>
    </row>
  </sheetData>
  <mergeCells count="15">
    <mergeCell ref="B3:L3"/>
    <mergeCell ref="B2:L2"/>
    <mergeCell ref="B8:B9"/>
    <mergeCell ref="B4:F5"/>
    <mergeCell ref="C8:D8"/>
    <mergeCell ref="L8:L9"/>
    <mergeCell ref="K8:K9"/>
    <mergeCell ref="J8:J9"/>
    <mergeCell ref="G8:G9"/>
    <mergeCell ref="F8:F9"/>
    <mergeCell ref="B10:B14"/>
    <mergeCell ref="B6:F6"/>
    <mergeCell ref="E8:E9"/>
    <mergeCell ref="I8:I9"/>
    <mergeCell ref="H8:H9"/>
  </mergeCells>
  <pageMargins left="0.7" right="0.4" top="0.5" bottom="0.5" header="0.3" footer="0.3"/>
  <pageSetup paperSize="9" scale="53" fitToHeight="0" orientation="landscape"/>
  <headerFooter>
    <oddFooter>&amp;C&amp;"Arial"&amp;8 &amp;K2E404D_x000D_#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&amp;C&amp;"Arial"&amp;8 &amp;K2E404D_x000D_#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L24"/>
  <sheetViews>
    <sheetView tabSelected="1" topLeftCell="A11" workbookViewId="0">
      <selection activeCell="I12" sqref="I12"/>
    </sheetView>
  </sheetViews>
  <sheetFormatPr defaultColWidth="9.140625" defaultRowHeight="15" customHeight="1" x14ac:dyDescent="0.25"/>
  <cols>
    <col min="1" max="1" width="5.5703125" style="1" customWidth="1"/>
    <col min="2" max="2" width="11.5703125" style="1" customWidth="1"/>
    <col min="3" max="4" width="10.5703125" style="1" customWidth="1"/>
    <col min="5" max="5" width="11.85546875" style="1" customWidth="1"/>
    <col min="6" max="6" width="25.42578125" style="1" customWidth="1"/>
    <col min="7" max="7" width="23.7109375" style="1" customWidth="1"/>
    <col min="8" max="8" width="32.140625" style="1" customWidth="1"/>
    <col min="9" max="9" width="22" style="1" customWidth="1"/>
    <col min="10" max="10" width="35.5703125" style="1" customWidth="1"/>
    <col min="11" max="11" width="25.42578125" style="1" customWidth="1"/>
    <col min="12" max="12" width="33.7109375" style="2" customWidth="1"/>
    <col min="13" max="13" width="9.140625" style="1" customWidth="1"/>
    <col min="14" max="16384" width="9.140625" style="1"/>
  </cols>
  <sheetData>
    <row r="1" spans="2:12" ht="3.95" customHeight="1" thickBot="1" x14ac:dyDescent="0.3"/>
    <row r="2" spans="2:12" ht="42.95" customHeight="1" thickBot="1" x14ac:dyDescent="0.3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2:12" ht="29.45" customHeight="1" x14ac:dyDescent="0.25">
      <c r="B3" s="48" t="s">
        <v>45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2:12" ht="87.75" customHeight="1" x14ac:dyDescent="0.25">
      <c r="B4" s="54" t="s">
        <v>46</v>
      </c>
      <c r="C4" s="55"/>
      <c r="D4" s="55"/>
      <c r="E4" s="55"/>
      <c r="F4" s="56"/>
      <c r="G4" s="28" t="s">
        <v>3</v>
      </c>
      <c r="H4" s="28" t="s">
        <v>47</v>
      </c>
      <c r="I4" s="29" t="s">
        <v>5</v>
      </c>
      <c r="J4" s="29" t="s">
        <v>132</v>
      </c>
      <c r="K4" s="28" t="s">
        <v>7</v>
      </c>
      <c r="L4" s="28" t="s">
        <v>133</v>
      </c>
    </row>
    <row r="5" spans="2:12" ht="195.75" customHeight="1" x14ac:dyDescent="0.25">
      <c r="B5" s="57"/>
      <c r="C5" s="58"/>
      <c r="D5" s="58"/>
      <c r="E5" s="58"/>
      <c r="F5" s="59"/>
      <c r="G5" s="28" t="s">
        <v>9</v>
      </c>
      <c r="H5" s="28" t="s">
        <v>48</v>
      </c>
      <c r="I5" s="29" t="s">
        <v>11</v>
      </c>
      <c r="J5" s="32" t="s">
        <v>49</v>
      </c>
      <c r="K5" s="29" t="s">
        <v>13</v>
      </c>
      <c r="L5" s="28" t="s">
        <v>50</v>
      </c>
    </row>
    <row r="6" spans="2:12" ht="90.95" customHeight="1" x14ac:dyDescent="0.25">
      <c r="B6" s="38" t="s">
        <v>51</v>
      </c>
      <c r="C6" s="39"/>
      <c r="D6" s="39"/>
      <c r="E6" s="39"/>
      <c r="F6" s="40"/>
      <c r="G6" s="27" t="s">
        <v>16</v>
      </c>
      <c r="H6" s="28"/>
      <c r="I6" s="28" t="s">
        <v>18</v>
      </c>
      <c r="J6" s="28" t="s">
        <v>52</v>
      </c>
      <c r="K6" s="29" t="s">
        <v>20</v>
      </c>
      <c r="L6" s="28"/>
    </row>
    <row r="7" spans="2:12" s="3" customFormat="1" ht="4.5" customHeight="1" thickBot="1" x14ac:dyDescent="0.3">
      <c r="B7" s="9"/>
      <c r="C7" s="10"/>
      <c r="D7" s="10"/>
      <c r="E7" s="10"/>
      <c r="F7" s="11"/>
      <c r="G7" s="11"/>
      <c r="H7" s="11" t="e" cm="1">
        <f t="array" ref="H7">- Class timing gợi ý: 8:50 - 11:35 mỗi buổi</f>
        <v>#NAME?</v>
      </c>
      <c r="I7" s="11"/>
      <c r="J7" s="30"/>
      <c r="K7" s="12"/>
      <c r="L7" s="13"/>
    </row>
    <row r="8" spans="2:12" s="4" customFormat="1" ht="30.75" customHeight="1" thickBot="1" x14ac:dyDescent="0.3">
      <c r="B8" s="52" t="s">
        <v>22</v>
      </c>
      <c r="C8" s="60" t="s">
        <v>23</v>
      </c>
      <c r="D8" s="61"/>
      <c r="E8" s="41" t="s">
        <v>24</v>
      </c>
      <c r="F8" s="43" t="s">
        <v>25</v>
      </c>
      <c r="G8" s="47" t="s">
        <v>26</v>
      </c>
      <c r="H8" s="45" t="s">
        <v>27</v>
      </c>
      <c r="I8" s="43" t="s">
        <v>28</v>
      </c>
      <c r="J8" s="43" t="s">
        <v>29</v>
      </c>
      <c r="K8" s="43" t="s">
        <v>30</v>
      </c>
      <c r="L8" s="43" t="s">
        <v>31</v>
      </c>
    </row>
    <row r="9" spans="2:12" s="4" customFormat="1" ht="36" customHeight="1" thickBot="1" x14ac:dyDescent="0.3">
      <c r="B9" s="53"/>
      <c r="C9" s="14" t="s">
        <v>32</v>
      </c>
      <c r="D9" s="15" t="s">
        <v>33</v>
      </c>
      <c r="E9" s="42"/>
      <c r="F9" s="44"/>
      <c r="G9" s="44"/>
      <c r="H9" s="46"/>
      <c r="I9" s="44"/>
      <c r="J9" s="44"/>
      <c r="K9" s="44"/>
      <c r="L9" s="44"/>
    </row>
    <row r="10" spans="2:12" s="16" customFormat="1" ht="39.950000000000003" customHeight="1" x14ac:dyDescent="0.25">
      <c r="B10" s="62" t="s">
        <v>53</v>
      </c>
      <c r="C10" s="22">
        <v>0.36805555555555558</v>
      </c>
      <c r="D10" s="22">
        <v>0.375</v>
      </c>
      <c r="E10" s="23">
        <f t="shared" ref="E10:E23" si="0">D10-C10</f>
        <v>6.9444444444444198E-3</v>
      </c>
      <c r="F10" s="20" t="s">
        <v>34</v>
      </c>
      <c r="G10" s="24" t="s">
        <v>54</v>
      </c>
      <c r="H10" s="24"/>
      <c r="I10" s="5"/>
      <c r="J10" s="5"/>
      <c r="K10" s="5" t="s">
        <v>55</v>
      </c>
      <c r="L10" s="6"/>
    </row>
    <row r="11" spans="2:12" s="16" customFormat="1" ht="105" customHeight="1" x14ac:dyDescent="0.25">
      <c r="B11" s="36"/>
      <c r="C11" s="22">
        <v>0.375</v>
      </c>
      <c r="D11" s="18">
        <v>0.38541666666666669</v>
      </c>
      <c r="E11" s="23">
        <f t="shared" si="0"/>
        <v>1.0416666666666685E-2</v>
      </c>
      <c r="F11" s="19" t="s">
        <v>56</v>
      </c>
      <c r="G11" s="25" t="s">
        <v>57</v>
      </c>
      <c r="H11" s="7" t="s">
        <v>58</v>
      </c>
      <c r="I11" s="7" t="s">
        <v>59</v>
      </c>
      <c r="J11" s="7" t="s">
        <v>60</v>
      </c>
      <c r="K11" s="25" t="s">
        <v>61</v>
      </c>
      <c r="L11" s="8"/>
    </row>
    <row r="12" spans="2:12" s="16" customFormat="1" ht="360" customHeight="1" x14ac:dyDescent="0.25">
      <c r="B12" s="36"/>
      <c r="C12" s="17">
        <v>0.38541666666666669</v>
      </c>
      <c r="D12" s="18">
        <v>0.40625</v>
      </c>
      <c r="E12" s="23">
        <f t="shared" si="0"/>
        <v>2.0833333333333315E-2</v>
      </c>
      <c r="F12" s="21" t="s">
        <v>62</v>
      </c>
      <c r="G12" s="25" t="s">
        <v>63</v>
      </c>
      <c r="H12" s="25" t="s">
        <v>64</v>
      </c>
      <c r="I12" s="25" t="s">
        <v>65</v>
      </c>
      <c r="J12" s="25" t="s">
        <v>66</v>
      </c>
      <c r="K12" s="25" t="s">
        <v>67</v>
      </c>
      <c r="L12" s="26" t="s">
        <v>68</v>
      </c>
    </row>
    <row r="13" spans="2:12" s="16" customFormat="1" ht="399" customHeight="1" x14ac:dyDescent="0.25">
      <c r="B13" s="36"/>
      <c r="C13" s="18">
        <v>0.40625</v>
      </c>
      <c r="D13" s="18">
        <v>0.43402777777777779</v>
      </c>
      <c r="E13" s="23">
        <f t="shared" si="0"/>
        <v>2.777777777777779E-2</v>
      </c>
      <c r="F13" s="21" t="s">
        <v>69</v>
      </c>
      <c r="G13" s="25" t="s">
        <v>70</v>
      </c>
      <c r="H13" s="25" t="s">
        <v>71</v>
      </c>
      <c r="I13" s="25" t="s">
        <v>72</v>
      </c>
      <c r="J13" s="25" t="s">
        <v>73</v>
      </c>
      <c r="K13" s="7" t="s">
        <v>74</v>
      </c>
      <c r="L13" s="26" t="s">
        <v>75</v>
      </c>
    </row>
    <row r="14" spans="2:12" s="16" customFormat="1" ht="30" customHeight="1" x14ac:dyDescent="0.25">
      <c r="B14" s="36"/>
      <c r="C14" s="17">
        <v>0.43402777777777779</v>
      </c>
      <c r="D14" s="18">
        <v>0.44097222222222221</v>
      </c>
      <c r="E14" s="23">
        <f t="shared" si="0"/>
        <v>6.9444444444444198E-3</v>
      </c>
      <c r="F14" s="21" t="s">
        <v>76</v>
      </c>
      <c r="G14" s="25" t="s">
        <v>77</v>
      </c>
      <c r="H14" s="25"/>
      <c r="I14" s="25"/>
      <c r="J14" s="25"/>
      <c r="K14" s="26" t="s">
        <v>44</v>
      </c>
      <c r="L14" s="8"/>
    </row>
    <row r="15" spans="2:12" ht="339.95" customHeight="1" x14ac:dyDescent="0.25">
      <c r="B15" s="36"/>
      <c r="C15" s="17">
        <v>0.44097222222222221</v>
      </c>
      <c r="D15" s="18">
        <v>0.47222222222222221</v>
      </c>
      <c r="E15" s="23">
        <f t="shared" si="0"/>
        <v>3.125E-2</v>
      </c>
      <c r="F15" s="21" t="s">
        <v>78</v>
      </c>
      <c r="G15" s="25" t="s">
        <v>79</v>
      </c>
      <c r="H15" s="25" t="s">
        <v>80</v>
      </c>
      <c r="I15" s="25" t="s">
        <v>81</v>
      </c>
      <c r="J15" s="25" t="s">
        <v>82</v>
      </c>
      <c r="K15" s="25" t="s">
        <v>83</v>
      </c>
      <c r="L15" s="26" t="s">
        <v>84</v>
      </c>
    </row>
    <row r="16" spans="2:12" ht="110.1" customHeight="1" x14ac:dyDescent="0.25">
      <c r="B16" s="37"/>
      <c r="C16" s="17">
        <v>0.47222222222222221</v>
      </c>
      <c r="D16" s="18">
        <v>0.4826388888888889</v>
      </c>
      <c r="E16" s="23">
        <f t="shared" si="0"/>
        <v>1.0416666666666685E-2</v>
      </c>
      <c r="F16" s="21" t="s">
        <v>85</v>
      </c>
      <c r="G16" s="25" t="s">
        <v>86</v>
      </c>
      <c r="H16" s="25" t="s">
        <v>87</v>
      </c>
      <c r="I16" s="25" t="s">
        <v>88</v>
      </c>
      <c r="J16" s="25" t="s">
        <v>89</v>
      </c>
      <c r="K16" s="25" t="s">
        <v>90</v>
      </c>
      <c r="L16" s="26" t="s">
        <v>91</v>
      </c>
    </row>
    <row r="17" spans="2:12" ht="39.950000000000003" customHeight="1" x14ac:dyDescent="0.25">
      <c r="B17" s="63" t="s">
        <v>92</v>
      </c>
      <c r="C17" s="17">
        <v>0.36805555555555558</v>
      </c>
      <c r="D17" s="18">
        <v>0.375</v>
      </c>
      <c r="E17" s="23">
        <f t="shared" si="0"/>
        <v>6.9444444444444198E-3</v>
      </c>
      <c r="F17" s="21" t="s">
        <v>93</v>
      </c>
      <c r="G17" s="25" t="s">
        <v>94</v>
      </c>
      <c r="H17" s="25"/>
      <c r="I17" s="25"/>
      <c r="J17" s="25"/>
      <c r="K17" s="25" t="s">
        <v>95</v>
      </c>
      <c r="L17" s="8"/>
    </row>
    <row r="18" spans="2:12" ht="261.75" customHeight="1" x14ac:dyDescent="0.25">
      <c r="B18" s="36"/>
      <c r="C18" s="17">
        <v>0.375</v>
      </c>
      <c r="D18" s="18">
        <v>0.39583333333333331</v>
      </c>
      <c r="E18" s="23">
        <f t="shared" si="0"/>
        <v>2.0833333333333315E-2</v>
      </c>
      <c r="F18" s="21" t="s">
        <v>96</v>
      </c>
      <c r="G18" s="25" t="s">
        <v>97</v>
      </c>
      <c r="H18" s="25" t="s">
        <v>98</v>
      </c>
      <c r="I18" s="25" t="s">
        <v>99</v>
      </c>
      <c r="J18" s="25" t="s">
        <v>100</v>
      </c>
      <c r="K18" s="25" t="s">
        <v>101</v>
      </c>
      <c r="L18" s="26" t="s">
        <v>102</v>
      </c>
    </row>
    <row r="19" spans="2:12" ht="230.1" customHeight="1" x14ac:dyDescent="0.25">
      <c r="B19" s="36"/>
      <c r="C19" s="17">
        <v>0.39583333333333331</v>
      </c>
      <c r="D19" s="18">
        <v>0.41666666666666669</v>
      </c>
      <c r="E19" s="23">
        <f t="shared" si="0"/>
        <v>2.083333333333337E-2</v>
      </c>
      <c r="F19" s="21" t="s">
        <v>103</v>
      </c>
      <c r="G19" s="25" t="s">
        <v>104</v>
      </c>
      <c r="H19" s="25" t="s">
        <v>105</v>
      </c>
      <c r="I19" s="25" t="s">
        <v>106</v>
      </c>
      <c r="J19" s="25" t="s">
        <v>107</v>
      </c>
      <c r="K19" s="25" t="s">
        <v>108</v>
      </c>
      <c r="L19" s="26" t="s">
        <v>109</v>
      </c>
    </row>
    <row r="20" spans="2:12" ht="30" customHeight="1" x14ac:dyDescent="0.25">
      <c r="B20" s="36"/>
      <c r="C20" s="17">
        <v>0.41666666666666669</v>
      </c>
      <c r="D20" s="18">
        <v>0.4236111111111111</v>
      </c>
      <c r="E20" s="23">
        <f t="shared" si="0"/>
        <v>6.9444444444444198E-3</v>
      </c>
      <c r="F20" s="21" t="s">
        <v>76</v>
      </c>
      <c r="G20" s="25" t="s">
        <v>77</v>
      </c>
      <c r="H20" s="25"/>
      <c r="I20" s="25"/>
      <c r="J20" s="25"/>
      <c r="K20" s="25"/>
      <c r="L20" s="8"/>
    </row>
    <row r="21" spans="2:12" ht="230.1" customHeight="1" x14ac:dyDescent="0.25">
      <c r="B21" s="36"/>
      <c r="C21" s="17">
        <v>0.4236111111111111</v>
      </c>
      <c r="D21" s="18">
        <v>0.44444444444444442</v>
      </c>
      <c r="E21" s="23">
        <f t="shared" si="0"/>
        <v>2.0833333333333315E-2</v>
      </c>
      <c r="F21" s="21" t="s">
        <v>110</v>
      </c>
      <c r="G21" s="25" t="s">
        <v>111</v>
      </c>
      <c r="H21" s="25" t="s">
        <v>112</v>
      </c>
      <c r="I21" s="25" t="s">
        <v>113</v>
      </c>
      <c r="J21" s="25" t="s">
        <v>114</v>
      </c>
      <c r="K21" s="25" t="s">
        <v>115</v>
      </c>
      <c r="L21" s="26" t="s">
        <v>116</v>
      </c>
    </row>
    <row r="22" spans="2:12" ht="339.95" customHeight="1" x14ac:dyDescent="0.25">
      <c r="B22" s="36"/>
      <c r="C22" s="17">
        <v>0.44444444444444442</v>
      </c>
      <c r="D22" s="18">
        <v>0.47222222222222221</v>
      </c>
      <c r="E22" s="23">
        <f t="shared" si="0"/>
        <v>2.777777777777779E-2</v>
      </c>
      <c r="F22" s="21" t="s">
        <v>117</v>
      </c>
      <c r="G22" s="25" t="s">
        <v>118</v>
      </c>
      <c r="H22" s="25" t="s">
        <v>119</v>
      </c>
      <c r="I22" s="25" t="s">
        <v>120</v>
      </c>
      <c r="J22" s="25" t="s">
        <v>121</v>
      </c>
      <c r="K22" s="25" t="s">
        <v>122</v>
      </c>
      <c r="L22" s="26" t="s">
        <v>123</v>
      </c>
    </row>
    <row r="23" spans="2:12" ht="129.94999999999999" customHeight="1" x14ac:dyDescent="0.25">
      <c r="B23" s="36"/>
      <c r="C23" s="17">
        <v>0.47222222222222221</v>
      </c>
      <c r="D23" s="18">
        <v>0.4826388888888889</v>
      </c>
      <c r="E23" s="23">
        <f t="shared" si="0"/>
        <v>1.0416666666666685E-2</v>
      </c>
      <c r="F23" s="21" t="s">
        <v>124</v>
      </c>
      <c r="G23" s="25" t="s">
        <v>125</v>
      </c>
      <c r="H23" s="25" t="s">
        <v>126</v>
      </c>
      <c r="I23" s="25" t="s">
        <v>127</v>
      </c>
      <c r="J23" s="25" t="s">
        <v>128</v>
      </c>
      <c r="K23" s="25" t="s">
        <v>129</v>
      </c>
      <c r="L23" s="26" t="s">
        <v>130</v>
      </c>
    </row>
    <row r="24" spans="2:12" ht="21.95" customHeight="1" x14ac:dyDescent="0.25">
      <c r="D24" s="34" t="s">
        <v>131</v>
      </c>
      <c r="E24" s="33">
        <f>E11+E12+E13+E15+E16+E18+E19+E21+E22+E23</f>
        <v>0.20138888888888895</v>
      </c>
    </row>
  </sheetData>
  <mergeCells count="16">
    <mergeCell ref="B3:L3"/>
    <mergeCell ref="B2:L2"/>
    <mergeCell ref="B17:B23"/>
    <mergeCell ref="B8:B9"/>
    <mergeCell ref="B4:F5"/>
    <mergeCell ref="C8:D8"/>
    <mergeCell ref="L8:L9"/>
    <mergeCell ref="K8:K9"/>
    <mergeCell ref="J8:J9"/>
    <mergeCell ref="G8:G9"/>
    <mergeCell ref="F8:F9"/>
    <mergeCell ref="B10:B16"/>
    <mergeCell ref="B6:F6"/>
    <mergeCell ref="E8:E9"/>
    <mergeCell ref="I8:I9"/>
    <mergeCell ref="H8:H9"/>
  </mergeCells>
  <pageMargins left="0.7" right="0.4" top="0.5" bottom="0.5" header="0.3" footer="0.3"/>
  <pageSetup paperSize="9" scale="53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Ho-Ren-So</vt:lpstr>
      <vt:lpstr>Sheet1</vt:lpstr>
      <vt:lpstr>Unit-Testing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TD.BM.01.05_KBGD v1.0_Kich ban giang day (trainer’s guide)</dc:title>
  <dc:creator>Khuong. Le Dinh - CMCGlobal TD</dc:creator>
  <cp:lastModifiedBy>Tuấn Vũ</cp:lastModifiedBy>
  <dcterms:created xsi:type="dcterms:W3CDTF">2021-05-05T07:21:49Z</dcterms:created>
  <dcterms:modified xsi:type="dcterms:W3CDTF">2026-06-25T00:54:19Z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0x010100EDD2364EB767184EA320A10B10358FF5</vt:lpwstr>
  </property>
  <property fmtid="{D5CDD505-2E9C-101B-9397-08002B2CF9AE}" pid="3" name="MediaServiceImageTags">
    <vt:lpwstr/>
  </property>
  <property fmtid="{D5CDD505-2E9C-101B-9397-08002B2CF9AE}" pid="4" name="MSIP_Label_4637e5cc-ed1f-4ad6-a881-35c0f1c6f3d8_Enabled">
    <vt:lpwstr>true</vt:lpwstr>
  </property>
  <property fmtid="{D5CDD505-2E9C-101B-9397-08002B2CF9AE}" pid="5" name="MSIP_Label_4637e5cc-ed1f-4ad6-a881-35c0f1c6f3d8_SetDate">
    <vt:lpwstr>2026-06-23T08:13:05Z</vt:lpwstr>
  </property>
  <property fmtid="{D5CDD505-2E9C-101B-9397-08002B2CF9AE}" pid="6" name="MSIP_Label_4637e5cc-ed1f-4ad6-a881-35c0f1c6f3d8_Method">
    <vt:lpwstr>Standard</vt:lpwstr>
  </property>
  <property fmtid="{D5CDD505-2E9C-101B-9397-08002B2CF9AE}" pid="7" name="MSIP_Label_4637e5cc-ed1f-4ad6-a881-35c0f1c6f3d8_Name">
    <vt:lpwstr>General</vt:lpwstr>
  </property>
  <property fmtid="{D5CDD505-2E9C-101B-9397-08002B2CF9AE}" pid="8" name="MSIP_Label_4637e5cc-ed1f-4ad6-a881-35c0f1c6f3d8_SiteId">
    <vt:lpwstr>e3cf3c98-a978-465f-8254-9d541eeea73c</vt:lpwstr>
  </property>
  <property fmtid="{D5CDD505-2E9C-101B-9397-08002B2CF9AE}" pid="9" name="MSIP_Label_4637e5cc-ed1f-4ad6-a881-35c0f1c6f3d8_ActionId">
    <vt:lpwstr>050c6cb6-d706-407c-9b7e-c7cac8e000cf</vt:lpwstr>
  </property>
  <property fmtid="{D5CDD505-2E9C-101B-9397-08002B2CF9AE}" pid="10" name="MSIP_Label_4637e5cc-ed1f-4ad6-a881-35c0f1c6f3d8_ContentBits">
    <vt:lpwstr>2</vt:lpwstr>
  </property>
  <property fmtid="{D5CDD505-2E9C-101B-9397-08002B2CF9AE}" pid="11" name="MSIP_Label_4637e5cc-ed1f-4ad6-a881-35c0f1c6f3d8_Tag">
    <vt:lpwstr>10, 3, 0, 1</vt:lpwstr>
  </property>
</Properties>
</file>